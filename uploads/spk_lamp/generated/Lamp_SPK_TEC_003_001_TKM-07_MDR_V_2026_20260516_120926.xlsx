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amp SPK" sheetId="1" r:id="rId4"/>
  </sheets>
  <definedNames>
    <definedName name="_xlnm._FilterDatabase" localSheetId="0" hidden="1">'Lamp SPK'!$A$15:$S$335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<sst xmlns="http://schemas.openxmlformats.org/spreadsheetml/2006/main" uniqueCount="396">
  <si>
    <t>Lampiran 1</t>
  </si>
  <si>
    <t>SURAT PERINTAH KERJA</t>
  </si>
  <si>
    <t>PROJECT</t>
  </si>
  <si>
    <t>: OSP FO FTTH MYREP CLUSTER TAHAP-1 PERIODE MEI 2026 AREA BANDUNG PT EKA MAS REPUBLIK</t>
  </si>
  <si>
    <t>NOMOR NTP</t>
  </si>
  <si>
    <t>: 18052/ROLL OUT/PROCUREMENT/IV/2026, 18-Apr-26</t>
  </si>
  <si>
    <t>NOMOR KONTRAK</t>
  </si>
  <si>
    <t>: TEC.040/TKM.00/MPL/IV/2026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</si>
  <si>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</si>
  <si>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</si>
  <si>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</si>
  <si>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</si>
  <si>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</si>
  <si>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</si>
  <si>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</si>
  <si>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</si>
  <si>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Remark</t>
  </si>
  <si>
    <t>Unit Price</t>
  </si>
  <si>
    <t>RANCAPANGGUNG RW 08 BANDUNG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</si>
  <si>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</si>
  <si>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</si>
  <si>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</si>
  <si>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</si>
  <si>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</si>
  <si>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</si>
  <si>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</si>
  <si>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</si>
  <si>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</si>
  <si>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</si>
  <si>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</si>
  <si>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</si>
  <si>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</si>
  <si>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</si>
  <si>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</si>
  <si>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</si>
  <si>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</si>
  <si>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</si>
  <si>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</si>
  <si>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</si>
  <si>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</si>
  <si>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</si>
  <si>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</si>
  <si>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</si>
  <si>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</si>
  <si>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</si>
  <si>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</si>
  <si>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</si>
  <si>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</si>
  <si>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</si>
  <si>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</si>
  <si>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</si>
  <si>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</si>
  <si>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</si>
  <si>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</si>
  <si>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</si>
  <si>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</si>
  <si>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</si>
  <si>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</si>
  <si>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</si>
  <si>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</si>
  <si>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</si>
  <si>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</si>
  <si>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</si>
  <si>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</si>
  <si>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</si>
  <si>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</si>
  <si>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</si>
  <si>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</si>
  <si>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</si>
  <si>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</si>
  <si>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</si>
  <si>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</si>
  <si>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</si>
  <si>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</si>
  <si>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</si>
  <si>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</si>
  <si>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</si>
  <si>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</si>
  <si>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</si>
  <si>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</si>
  <si>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</si>
  <si>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</si>
  <si>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</si>
  <si>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</si>
  <si>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</si>
  <si>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</si>
  <si>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</si>
  <si>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</si>
  <si>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</si>
  <si>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</si>
  <si>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</si>
  <si>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</si>
  <si>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</si>
  <si>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</si>
  <si>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</si>
  <si>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rFont val="Calibri"/>
        <b val="false"/>
        <i val="false"/>
        <strike val="false"/>
        <color rgb="FF000000"/>
        <sz val="10"/>
        <u val="none"/>
      </rPr>
      <t xml:space="preserve">Instal Pole mounted outdoor type (16 ports type) </t>
    </r>
    <r>
      <rPr>
        <rFont val="Calibri"/>
        <b val="false"/>
        <i val="false"/>
        <strike val="false"/>
        <color rgb="FFFF0000"/>
        <sz val="10"/>
        <u val="none"/>
      </rPr>
      <t xml:space="preserve"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</si>
  <si>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</si>
  <si>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</si>
  <si>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</si>
  <si>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</si>
  <si>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</si>
  <si>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</si>
  <si>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</si>
  <si>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</si>
  <si>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</si>
  <si>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</si>
  <si>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</si>
  <si>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</si>
  <si>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</si>
  <si>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</si>
  <si>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</si>
  <si>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</si>
  <si>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</si>
  <si>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</si>
  <si>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</si>
  <si>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</si>
  <si>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</si>
  <si>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</si>
  <si>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</si>
  <si>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</si>
  <si>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</si>
  <si>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</si>
  <si>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</si>
  <si>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</si>
  <si>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</si>
  <si>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</si>
  <si>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</si>
  <si>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</si>
  <si>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</si>
  <si>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</si>
  <si>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</si>
  <si>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</si>
  <si>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</si>
  <si>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</si>
  <si>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</si>
  <si>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</si>
  <si>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</si>
  <si>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</si>
  <si>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</si>
  <si>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</si>
  <si>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</si>
  <si>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</si>
  <si>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</si>
  <si>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</si>
  <si>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</si>
  <si>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</si>
  <si>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</si>
  <si>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</si>
  <si>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</si>
  <si>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</si>
  <si>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</si>
  <si>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</si>
  <si>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</si>
  <si>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</si>
  <si>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</si>
  <si>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</si>
  <si>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</si>
  <si>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</si>
  <si>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</si>
  <si>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</si>
  <si>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</si>
  <si>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</si>
  <si>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</si>
  <si>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</si>
  <si>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</si>
  <si>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</si>
  <si>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</si>
  <si>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</si>
  <si>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</si>
  <si>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</si>
  <si>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</si>
  <si>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</si>
  <si>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</si>
  <si>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</si>
  <si>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rFont val="Calibri"/>
        <b val="false"/>
        <i val="false"/>
        <strike val="false"/>
        <color rgb="FF000000"/>
        <sz val="10"/>
        <u val="none"/>
      </rPr>
      <t xml:space="preserve">meter</t>
    </r>
    <r>
      <rPr>
        <rFont val="Calibri"/>
        <b val="false"/>
        <i val="false"/>
        <vertAlign val="superscript"/>
        <strike val="false"/>
        <color rgb="FF000000"/>
        <sz val="10"/>
        <u val="none"/>
      </rPr>
      <t xml:space="preserve"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</si>
  <si>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</si>
  <si>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</si>
  <si>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</si>
  <si>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</si>
  <si>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</si>
  <si>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</si>
  <si>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</si>
  <si>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</si>
  <si>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</si>
  <si>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</si>
  <si>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</si>
  <si>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</si>
  <si>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</si>
  <si>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</si>
  <si>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</si>
  <si>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</si>
  <si>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</si>
  <si>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</si>
  <si>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</si>
  <si>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</si>
  <si>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</si>
  <si>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</si>
  <si>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</si>
  <si>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</si>
  <si>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</si>
  <si>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</si>
  <si>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</si>
  <si>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</si>
  <si>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</si>
  <si>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</si>
  <si>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</si>
  <si>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</si>
  <si>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</si>
  <si>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</si>
  <si>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</si>
  <si>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</si>
  <si>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</si>
  <si>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</si>
  <si>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</si>
  <si>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</si>
  <si>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</si>
  <si>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</si>
  <si>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</si>
  <si>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</si>
  <si>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</si>
  <si>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</si>
  <si>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</si>
  <si>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</si>
  <si>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</si>
  <si>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</si>
  <si>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</si>
  <si>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</si>
  <si>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</si>
  <si>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</si>
  <si>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</si>
  <si>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</si>
  <si>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</si>
  <si>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</si>
  <si>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</si>
  <si>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</si>
  <si>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</si>
  <si>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</si>
  <si>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</si>
  <si>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</si>
  <si>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</si>
  <si>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</si>
  <si>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</si>
  <si>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</si>
  <si>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</si>
  <si>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</si>
  <si>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</si>
  <si>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</si>
  <si>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</si>
  <si>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</si>
  <si>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</si>
  <si>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</si>
  <si>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</si>
  <si>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</si>
  <si>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</si>
  <si>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</si>
  <si>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</si>
  <si>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</si>
  <si>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</si>
  <si>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</si>
  <si>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</si>
  <si>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</si>
  <si>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</si>
  <si>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</si>
  <si>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</si>
  <si>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</si>
  <si>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</si>
  <si>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</si>
  <si>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</si>
  <si>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</si>
  <si>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</si>
  <si>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</si>
  <si>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</si>
  <si>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</si>
  <si>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</si>
  <si>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</si>
  <si>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</si>
  <si>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</si>
  <si>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</si>
  <si>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</si>
  <si>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</si>
  <si>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</si>
  <si>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</si>
  <si>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</si>
  <si>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</si>
  <si>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</si>
  <si>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</si>
  <si>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</si>
  <si>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</si>
  <si>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</si>
  <si>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</si>
  <si>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</si>
  <si>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</si>
  <si>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</si>
  <si>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</si>
  <si>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</si>
  <si>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</si>
  <si>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</si>
  <si>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</si>
  <si>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</si>
  <si>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</si>
  <si>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</si>
  <si>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</si>
  <si>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</si>
  <si>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</si>
  <si>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</si>
  <si>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</si>
  <si>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</si>
  <si>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</si>
  <si>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</si>
  <si>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</si>
  <si>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</si>
  <si>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</si>
  <si>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</si>
  <si>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</si>
  <si>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</si>
  <si>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</si>
  <si>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</si>
  <si>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</si>
  <si>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</si>
  <si>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</si>
  <si>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</si>
  <si>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</si>
  <si>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</si>
  <si>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</si>
  <si>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</si>
  <si>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</si>
  <si>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</si>
  <si>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</si>
  <si>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</si>
  <si>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</si>
  <si>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</si>
  <si>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</si>
  <si>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</si>
  <si>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</si>
  <si>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</si>
  <si>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</si>
  <si>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</si>
  <si>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</si>
  <si>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</si>
  <si>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</si>
  <si>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</si>
  <si>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</si>
  <si>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</si>
  <si>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</si>
  <si>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</si>
  <si>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</si>
  <si>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</si>
  <si>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</si>
  <si>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</si>
  <si>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</si>
  <si>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</si>
  <si>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</si>
  <si>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</si>
  <si>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</si>
  <si>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</si>
  <si>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</si>
  <si>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</si>
  <si>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</si>
  <si>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</si>
  <si>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</si>
  <si>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</si>
  <si>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</si>
  <si>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</si>
  <si>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</si>
  <si>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</si>
  <si>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</si>
  <si>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</si>
  <si>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</si>
  <si>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</si>
  <si>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</si>
  <si>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</si>
  <si>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</si>
  <si>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</si>
  <si>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</si>
  <si>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</si>
  <si>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</si>
  <si>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</si>
  <si>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</si>
  <si>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</si>
  <si>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</si>
  <si>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</si>
  <si>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</si>
  <si>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</si>
  <si>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NGADI HARYONO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</si>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</sst>
</file>

<file path=xl/styles.xml><?xml version="1.0" encoding="utf-8"?>
<styleSheet xmlns="http://schemas.openxmlformats.org/spreadsheetml/2006/main" xml:space="preserve">
  <numFmts count="5">
    <numFmt numFmtId="164" formatCode="_-* #,##0_-;\-* #,##0_-;_-* &quot;-&quot;??_-;_-@"/>
    <numFmt numFmtId="165" formatCode="_(* #,##0_);_(* \(#,##0\);_(* &quot;-&quot;??_);_(@_)"/>
    <numFmt numFmtId="166" formatCode="_(* #,##0.00_);_(* \(#,##0.00\);_(* &quot;-&quot;??_);_(@_)"/>
    <numFmt numFmtId="167" formatCode="_-* #,##0_-;\-* #,##0_-;_-* &quot;-&quot;_-;_-@"/>
    <numFmt numFmtId="168" formatCode="_(&quot;Rp&quot;* #,##0_);_(&quot;Rp&quot;* \(#,##0\);_(&quot;Rp&quot;* &quot;-&quot;_);_(@_)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0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0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center" textRotation="0" wrapText="true" shrinkToFit="false"/>
    </xf>
    <xf xfId="0" fontId="2" numFmtId="165" fillId="2" borderId="1" applyFont="1" applyNumberFormat="1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165" fillId="2" borderId="0" applyFont="1" applyNumberFormat="1" applyFill="0" applyBorder="0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5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true" shrinkToFit="false"/>
    </xf>
    <xf xfId="0" fontId="2" numFmtId="166" fillId="2" borderId="1" applyFont="1" applyNumberFormat="1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165" fillId="2" borderId="1" applyFont="1" applyNumberFormat="1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165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1" numFmtId="165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165" fillId="2" borderId="1" applyFont="1" applyNumberFormat="1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0" applyBorder="1" applyAlignment="1">
      <alignment horizontal="left" vertical="top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7" fillId="2" borderId="1" applyFont="1" applyNumberFormat="1" applyFill="0" applyBorder="1" applyAlignment="1">
      <alignment horizontal="center" vertical="center" textRotation="0" wrapText="false" shrinkToFit="false"/>
    </xf>
    <xf xfId="0" fontId="2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bottom" textRotation="0" wrapText="false" shrinkToFit="false"/>
    </xf>
    <xf xfId="0" fontId="6" numFmtId="165" fillId="2" borderId="1" applyFont="1" applyNumberFormat="1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left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165" fillId="2" borderId="1" applyFont="1" applyNumberFormat="1" applyFill="0" applyBorder="1" applyAlignment="1">
      <alignment horizontal="general" vertical="center" textRotation="0" wrapText="false" shrinkToFit="false"/>
    </xf>
    <xf xfId="0" fontId="7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3" fillId="2" borderId="1" applyFont="1" applyNumberFormat="1" applyFill="0" applyBorder="1" applyAlignment="1">
      <alignment horizontal="center" vertical="center" textRotation="0" wrapText="false" shrinkToFit="false"/>
    </xf>
    <xf xfId="0" fontId="2" numFmtId="168" fillId="2" borderId="1" applyFont="1" applyNumberFormat="1" applyFill="0" applyBorder="1" applyAlignment="1">
      <alignment horizontal="center" vertical="center" textRotation="0" wrapText="false" shrinkToFit="false"/>
    </xf>
    <xf xfId="0" fontId="7" numFmtId="9" fillId="2" borderId="1" applyFont="1" applyNumberFormat="1" applyFill="0" applyBorder="1" applyAlignment="0">
      <alignment horizontal="general" vertical="bottom" textRotation="0" wrapText="false" shrinkToFit="false"/>
    </xf>
    <xf xfId="0" fontId="2" numFmtId="165" fillId="2" borderId="1" applyFont="1" applyNumberFormat="1" applyFill="0" applyBorder="1" applyAlignment="1">
      <alignment horizontal="general" vertical="center" textRotation="0" wrapText="false" shrinkToFit="false"/>
    </xf>
    <xf xfId="0" fontId="2" numFmtId="3" fillId="2" borderId="1" applyFont="1" applyNumberFormat="1" applyFill="0" applyBorder="1" applyAlignment="1">
      <alignment horizontal="center" vertical="bottom" textRotation="0" wrapText="false" shrinkToFit="false"/>
    </xf>
    <xf xfId="0" fontId="1" numFmtId="3" fillId="2" borderId="1" applyFont="1" applyNumberFormat="1" applyFill="0" applyBorder="1" applyAlignment="1">
      <alignment horizontal="center" vertical="center" textRotation="0" wrapText="false" shrinkToFit="false"/>
    </xf>
    <xf xfId="0" fontId="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164" fillId="2" borderId="0" applyFont="1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5" fillId="2" borderId="0" applyFont="1" applyNumberFormat="1" applyFill="0" applyBorder="0" applyAlignment="1">
      <alignment horizontal="general" vertical="center" textRotation="0" wrapText="false" shrinkToFit="false"/>
    </xf>
    <xf xfId="0" fontId="0" numFmtId="3" fillId="2" borderId="0" applyFont="0" applyNumberFormat="1" applyFill="0" applyBorder="0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>
      <alignment horizontal="center" vertical="center" textRotation="0" wrapText="false" shrinkToFit="false"/>
    </xf>
    <xf xfId="0" fontId="0" numFmtId="164" fillId="2" borderId="0" applyFont="0" applyNumberFormat="1" applyFill="0" applyBorder="0" applyAlignment="1">
      <alignment horizontal="general" vertical="top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166" fillId="2" borderId="2" applyFont="1" applyNumberFormat="1" applyFill="0" applyBorder="1" applyAlignment="1">
      <alignment horizontal="center" vertical="center" textRotation="0" wrapText="false" shrinkToFit="false"/>
    </xf>
    <xf xfId="0" fontId="2" numFmtId="164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2" numFmtId="164" fillId="2" borderId="8" applyFont="1" applyNumberFormat="1" applyFill="0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0">
      <alignment horizontal="general" vertical="bottom" textRotation="0" wrapText="fals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true" shrinkToFit="false"/>
    </xf>
    <xf xfId="0" fontId="2" numFmtId="3" fillId="2" borderId="2" applyFont="1" applyNumberFormat="1" applyFill="0" applyBorder="1" applyAlignment="1">
      <alignment horizontal="center" vertical="center" textRotation="0" wrapText="true" shrinkToFit="false"/>
    </xf>
    <xf xfId="0" fontId="2" numFmtId="165" fillId="2" borderId="5" applyFont="1" applyNumberFormat="1" applyFill="0" applyBorder="1" applyAlignment="1">
      <alignment horizontal="center" vertical="center" textRotation="0" wrapText="false" shrinkToFit="false"/>
    </xf>
    <xf xfId="0" fontId="2" numFmtId="165" fillId="2" borderId="2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Z1000"/>
  <sheetViews>
    <sheetView tabSelected="1" workbookViewId="0" showGridLines="true" showRowColHeaders="1">
      <selection activeCell="M20" sqref="M20"/>
    </sheetView>
  </sheetViews>
  <sheetFormatPr customHeight="true" defaultRowHeight="15" defaultColWidth="14.42578125" outlineLevelRow="0" outlineLevelCol="0"/>
  <cols>
    <col min="1" max="1" width="3.28515625" customWidth="true" style="0"/>
    <col min="2" max="2" width="7.85546875" customWidth="true" style="0"/>
    <col min="3" max="3" width="47.42578125" customWidth="true" style="0"/>
    <col min="4" max="4" width="10.42578125" customWidth="true" style="0"/>
    <col min="5" max="5" width="11.140625" customWidth="true" style="0"/>
    <col min="6" max="6" width="11.140625" customWidth="true" style="0"/>
    <col min="7" max="7" width="10.28515625" customWidth="true" style="0"/>
    <col min="8" max="8" width="10.28515625" customWidth="true" style="0"/>
    <col min="9" max="9" width="10.28515625" customWidth="true" style="0"/>
    <col min="10" max="10" width="10" customWidth="true" style="0"/>
    <col min="11" max="11" width="9.7109375" customWidth="true" style="0"/>
    <col min="12" max="12" width="9.7109375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2.7109375" customWidth="true" style="0"/>
    <col min="18" max="18" width="8.85546875" customWidth="true" style="0"/>
    <col min="19" max="19" width="10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</cols>
  <sheetData>
    <row r="1" spans="1:26" customHeight="1" ht="12.75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customHeight="1" ht="12.75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customHeight="1" ht="12.75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customHeight="1" ht="12.75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customHeight="1" ht="12.75">
      <c r="A5" s="1"/>
      <c r="B5" s="8" t="s">
        <v>2</v>
      </c>
      <c r="C5" s="1"/>
      <c r="D5" s="9" t="s">
        <v>3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customHeight="1" ht="12.75">
      <c r="A6" s="1"/>
      <c r="B6" s="10" t="s">
        <v>4</v>
      </c>
      <c r="C6" s="1"/>
      <c r="D6" s="9" t="s">
        <v>5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customHeight="1" ht="12.75">
      <c r="A7" s="1"/>
      <c r="B7" s="9" t="s">
        <v>6</v>
      </c>
      <c r="C7" s="1"/>
      <c r="D7" s="9" t="s">
        <v>7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customHeight="1" ht="12.75">
      <c r="A8" s="1"/>
      <c r="B8" s="9" t="s">
        <v>8</v>
      </c>
      <c r="C8" s="1"/>
      <c r="D8" s="9" t="s">
        <v>9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customHeight="1" ht="12.75">
      <c r="A9" s="1"/>
      <c r="B9" s="9" t="s">
        <v>10</v>
      </c>
      <c r="C9" s="1"/>
      <c r="D9" s="9" t="s">
        <v>11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customHeight="1" ht="12.75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customHeight="1" ht="12.75">
      <c r="A11" s="1"/>
      <c r="B11" s="80" t="s">
        <v>12</v>
      </c>
      <c r="C11" s="80" t="s">
        <v>13</v>
      </c>
      <c r="D11" s="83" t="s">
        <v>14</v>
      </c>
      <c r="E11" s="84" t="s">
        <v>15</v>
      </c>
      <c r="F11" s="85"/>
      <c r="G11" s="84">
        <v>0</v>
      </c>
      <c r="H11" s="86">
        <v>0</v>
      </c>
      <c r="I11" s="86">
        <v>0</v>
      </c>
      <c r="J11" s="86">
        <v>0</v>
      </c>
      <c r="K11" s="86"/>
      <c r="L11" s="86"/>
      <c r="M11" s="86"/>
      <c r="N11" s="86"/>
      <c r="O11" s="86"/>
      <c r="P11" s="85"/>
      <c r="Q11" s="93" t="s">
        <v>16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customHeight="1" ht="42">
      <c r="A12" s="1"/>
      <c r="B12" s="81"/>
      <c r="C12" s="81"/>
      <c r="D12" s="81"/>
      <c r="E12" s="88" t="s">
        <v>17</v>
      </c>
      <c r="F12" s="89"/>
      <c r="G12" s="84" t="s">
        <v>18</v>
      </c>
      <c r="H12" s="86"/>
      <c r="I12" s="86"/>
      <c r="J12" s="87"/>
      <c r="K12" s="84" t="s">
        <v>19</v>
      </c>
      <c r="L12" s="85"/>
      <c r="M12" s="94" t="s">
        <v>20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customHeight="1" ht="12.75">
      <c r="A13" s="1"/>
      <c r="B13" s="81"/>
      <c r="C13" s="81"/>
      <c r="D13" s="81"/>
      <c r="E13" s="90"/>
      <c r="F13" s="91"/>
      <c r="G13" s="84" t="s">
        <v>21</v>
      </c>
      <c r="H13" s="85"/>
      <c r="I13" s="84" t="s">
        <v>22</v>
      </c>
      <c r="J13" s="85"/>
      <c r="K13" s="92" t="s">
        <v>23</v>
      </c>
      <c r="L13" s="92" t="s">
        <v>24</v>
      </c>
      <c r="M13" s="94" t="s">
        <v>23</v>
      </c>
      <c r="N13" s="85"/>
      <c r="O13" s="95" t="s">
        <v>25</v>
      </c>
      <c r="P13" s="92" t="s">
        <v>26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customHeight="1" ht="12.75">
      <c r="A14" s="1"/>
      <c r="B14" s="82"/>
      <c r="C14" s="82"/>
      <c r="D14" s="82"/>
      <c r="E14" s="11" t="s">
        <v>23</v>
      </c>
      <c r="F14" s="11" t="s">
        <v>24</v>
      </c>
      <c r="G14" s="11" t="s">
        <v>23</v>
      </c>
      <c r="H14" s="11" t="s">
        <v>24</v>
      </c>
      <c r="I14" s="11" t="s">
        <v>23</v>
      </c>
      <c r="J14" s="11" t="s">
        <v>24</v>
      </c>
      <c r="K14" s="82"/>
      <c r="L14" s="82"/>
      <c r="M14" s="12" t="s">
        <v>27</v>
      </c>
      <c r="N14" s="12" t="s">
        <v>28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customHeight="1" ht="12.75">
      <c r="A15" s="1"/>
      <c r="B15" s="13">
        <v>1</v>
      </c>
      <c r="C15" s="14" t="s">
        <v>29</v>
      </c>
      <c r="D15" s="15"/>
      <c r="E15" s="16"/>
      <c r="F15" s="16"/>
      <c r="G15" s="17">
        <v>0</v>
      </c>
      <c r="H15" s="17">
        <v>0</v>
      </c>
      <c r="I15" s="17">
        <v>0</v>
      </c>
      <c r="J15" s="17">
        <v>0</v>
      </c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customHeight="1" ht="12.75">
      <c r="A16" s="1"/>
      <c r="B16" s="19">
        <v>1.1</v>
      </c>
      <c r="C16" s="20" t="s">
        <v>30</v>
      </c>
      <c r="D16" s="15" t="s">
        <v>31</v>
      </c>
      <c r="E16" s="16"/>
      <c r="F16" s="16">
        <v>1000000</v>
      </c>
      <c r="G16" s="17">
        <v>0</v>
      </c>
      <c r="H16" s="17">
        <v>1</v>
      </c>
      <c r="I16" s="17"/>
      <c r="J16" s="17"/>
      <c r="K16" s="17" t="str">
        <f>SUMIFS(G16:J16,$G$14:$J$14,$K$13)</f>
        <v>0</v>
      </c>
      <c r="L16" s="17" t="str">
        <f>SUMIFS(G16:J16,$G$14:$J$14,$L$13)</f>
        <v>0</v>
      </c>
      <c r="M16" s="17"/>
      <c r="N16" s="17"/>
      <c r="O16" s="17" t="str">
        <f>L16*F16</f>
        <v>0</v>
      </c>
      <c r="P16" s="17" t="str">
        <f>N16+O16</f>
        <v>0</v>
      </c>
      <c r="Q16" s="21"/>
      <c r="R16" s="1"/>
      <c r="S16" s="22" t="str">
        <f>K16+L16</f>
        <v>0</v>
      </c>
      <c r="T16" s="1"/>
      <c r="U16" s="1"/>
      <c r="V16" s="1"/>
      <c r="W16" s="1"/>
      <c r="X16" s="1"/>
      <c r="Y16" s="1"/>
      <c r="Z16" s="1"/>
    </row>
    <row r="17" spans="1:26" customHeight="1" ht="12.75">
      <c r="A17" s="1"/>
      <c r="B17" s="19">
        <v>1.2</v>
      </c>
      <c r="C17" s="23" t="s">
        <v>32</v>
      </c>
      <c r="D17" s="15" t="s">
        <v>31</v>
      </c>
      <c r="E17" s="16"/>
      <c r="F17" s="16">
        <v>1650000</v>
      </c>
      <c r="G17" s="17">
        <v>0</v>
      </c>
      <c r="H17" s="17">
        <v>1</v>
      </c>
      <c r="I17" s="17">
        <v>0</v>
      </c>
      <c r="J17" s="17">
        <v>1</v>
      </c>
      <c r="K17" s="17" t="str">
        <f>SUMIFS(G17:J17,$G$14:$J$14,$K$13)</f>
        <v>0</v>
      </c>
      <c r="L17" s="17" t="str">
        <f>SUMIFS(G17:J17,$G$14:$J$14,$L$13)</f>
        <v>0</v>
      </c>
      <c r="M17" s="17"/>
      <c r="N17" s="17"/>
      <c r="O17" s="17" t="str">
        <f>L17*F17</f>
        <v>0</v>
      </c>
      <c r="P17" s="17" t="str">
        <f>N17+O17</f>
        <v>0</v>
      </c>
      <c r="Q17" s="21"/>
      <c r="R17" s="1"/>
      <c r="S17" s="22" t="str">
        <f>K17+L17</f>
        <v>0</v>
      </c>
      <c r="T17" s="1"/>
      <c r="U17" s="1"/>
      <c r="V17" s="1"/>
      <c r="W17" s="1"/>
      <c r="X17" s="1"/>
      <c r="Y17" s="1"/>
      <c r="Z17" s="1"/>
    </row>
    <row r="18" spans="1:26" customHeight="1" ht="12.75">
      <c r="A18" s="1"/>
      <c r="B18" s="24" t="s">
        <v>33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 t="str">
        <f>K18+L18</f>
        <v>0</v>
      </c>
      <c r="T18" s="1"/>
      <c r="U18" s="18"/>
      <c r="V18" s="18"/>
      <c r="W18" s="18"/>
      <c r="X18" s="18"/>
      <c r="Y18" s="18"/>
      <c r="Z18" s="18"/>
    </row>
    <row r="19" spans="1:26" customHeight="1" ht="12.75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 t="str">
        <f>K19+L19</f>
        <v>0</v>
      </c>
      <c r="T19" s="1"/>
      <c r="U19" s="1"/>
      <c r="V19" s="1"/>
      <c r="W19" s="1"/>
      <c r="X19" s="1"/>
      <c r="Y19" s="1"/>
      <c r="Z19" s="1"/>
    </row>
    <row r="20" spans="1:26" customHeight="1" ht="12.75">
      <c r="A20" s="1"/>
      <c r="B20" s="25">
        <v>2</v>
      </c>
      <c r="C20" s="28" t="s">
        <v>34</v>
      </c>
      <c r="D20" s="29"/>
      <c r="E20" s="12"/>
      <c r="F20" s="12"/>
      <c r="G20" s="12">
        <v>0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12"/>
      <c r="P20" s="12"/>
      <c r="Q20" s="21"/>
      <c r="R20" s="5"/>
      <c r="S20" s="22" t="str">
        <f>K20+L20</f>
        <v>0</v>
      </c>
      <c r="T20" s="1"/>
      <c r="U20" s="1"/>
      <c r="V20" s="1"/>
      <c r="W20" s="1"/>
      <c r="X20" s="1"/>
      <c r="Y20" s="1"/>
      <c r="Z20" s="1"/>
    </row>
    <row r="21" spans="1:26" customHeight="1" ht="12.75">
      <c r="A21" s="1"/>
      <c r="B21" s="13">
        <v>2.1</v>
      </c>
      <c r="C21" s="14" t="s">
        <v>35</v>
      </c>
      <c r="D21" s="15"/>
      <c r="E21" s="16"/>
      <c r="F21" s="16"/>
      <c r="G21" s="17">
        <v>0</v>
      </c>
      <c r="H21" s="17">
        <v>0</v>
      </c>
      <c r="I21" s="17">
        <v>0</v>
      </c>
      <c r="J21" s="17">
        <v>0</v>
      </c>
      <c r="K21" s="17"/>
      <c r="L21" s="17"/>
      <c r="M21" s="17"/>
      <c r="N21" s="17"/>
      <c r="O21" s="17"/>
      <c r="P21" s="17"/>
      <c r="Q21" s="21"/>
      <c r="R21" s="5"/>
      <c r="S21" s="22" t="str">
        <f>K21+L21</f>
        <v>0</v>
      </c>
      <c r="T21" s="1"/>
      <c r="U21" s="18"/>
      <c r="V21" s="18"/>
      <c r="W21" s="18"/>
      <c r="X21" s="18"/>
      <c r="Y21" s="18"/>
      <c r="Z21" s="18"/>
    </row>
    <row r="22" spans="1:26" customHeight="1" ht="12">
      <c r="A22" s="1"/>
      <c r="B22" s="19" t="s">
        <v>36</v>
      </c>
      <c r="C22" s="21" t="s">
        <v>37</v>
      </c>
      <c r="D22" s="15"/>
      <c r="E22" s="16">
        <v>0</v>
      </c>
      <c r="F22" s="16">
        <v>0</v>
      </c>
      <c r="G22" s="17">
        <v>0</v>
      </c>
      <c r="H22" s="17">
        <v>0</v>
      </c>
      <c r="I22" s="17">
        <v>0</v>
      </c>
      <c r="J22" s="17">
        <v>0</v>
      </c>
      <c r="K22" s="17" t="str">
        <f>SUMIFS(G22:J22,$G$14:$J$14,$K$13)</f>
        <v>0</v>
      </c>
      <c r="L22" s="17" t="str">
        <f>SUMIFS(G22:J22,$G$14:$J$14,$L$13)</f>
        <v>0</v>
      </c>
      <c r="M22" s="17"/>
      <c r="N22" s="17"/>
      <c r="O22" s="17"/>
      <c r="P22" s="17" t="str">
        <f>N22+O22</f>
        <v>0</v>
      </c>
      <c r="Q22" s="21"/>
      <c r="R22" s="5"/>
      <c r="S22" s="22" t="str">
        <f>K22+L22</f>
        <v>0</v>
      </c>
      <c r="T22" s="1"/>
      <c r="U22" s="1"/>
      <c r="V22" s="1"/>
      <c r="W22" s="1"/>
      <c r="X22" s="1"/>
      <c r="Y22" s="1"/>
      <c r="Z22" s="1"/>
    </row>
    <row r="23" spans="1:26" customHeight="1" ht="12">
      <c r="A23" s="1"/>
      <c r="B23" s="19"/>
      <c r="C23" s="21" t="s">
        <v>38</v>
      </c>
      <c r="D23" s="15" t="s">
        <v>39</v>
      </c>
      <c r="E23" s="16">
        <v>0</v>
      </c>
      <c r="F23" s="16">
        <v>0</v>
      </c>
      <c r="G23" s="17">
        <v>1276</v>
      </c>
      <c r="H23" s="17">
        <v>0</v>
      </c>
      <c r="I23" s="17">
        <v>20</v>
      </c>
      <c r="J23" s="17">
        <v>0</v>
      </c>
      <c r="K23" s="17" t="str">
        <f>SUMIFS(G23:J23,$G$14:$J$14,$K$13)</f>
        <v>0</v>
      </c>
      <c r="L23" s="17" t="str">
        <f>SUMIFS(G23:J23,$G$14:$J$14,$L$13)</f>
        <v>0</v>
      </c>
      <c r="M23" s="17"/>
      <c r="N23" s="17"/>
      <c r="O23" s="17" t="str">
        <f>L23*F23</f>
        <v>0</v>
      </c>
      <c r="P23" s="17" t="str">
        <f>N23+O23</f>
        <v>0</v>
      </c>
      <c r="Q23" s="21" t="s">
        <v>40</v>
      </c>
      <c r="R23" s="5"/>
      <c r="S23" s="22" t="str">
        <f>K23+L23</f>
        <v>0</v>
      </c>
      <c r="T23" s="1"/>
      <c r="U23" s="1"/>
      <c r="V23" s="1"/>
      <c r="W23" s="1"/>
      <c r="X23" s="1"/>
      <c r="Y23" s="1"/>
      <c r="Z23" s="1"/>
    </row>
    <row r="24" spans="1:26" customHeight="1" ht="12">
      <c r="A24" s="1"/>
      <c r="B24" s="19"/>
      <c r="C24" s="21" t="s">
        <v>41</v>
      </c>
      <c r="D24" s="15" t="s">
        <v>39</v>
      </c>
      <c r="E24" s="16">
        <v>0</v>
      </c>
      <c r="F24" s="16">
        <v>4000</v>
      </c>
      <c r="G24" s="17">
        <v>0</v>
      </c>
      <c r="H24" s="30">
        <v>1276</v>
      </c>
      <c r="I24" s="17">
        <v>0</v>
      </c>
      <c r="J24" s="17">
        <v>20</v>
      </c>
      <c r="K24" s="17" t="str">
        <f>SUMIFS(G24:J24,$G$14:$J$14,$K$13)</f>
        <v>0</v>
      </c>
      <c r="L24" s="17" t="str">
        <f>SUMIFS(G24:J24,$G$14:$J$14,$L$13)</f>
        <v>0</v>
      </c>
      <c r="M24" s="17"/>
      <c r="N24" s="17"/>
      <c r="O24" s="17" t="str">
        <f>L24*F24</f>
        <v>0</v>
      </c>
      <c r="P24" s="17" t="str">
        <f>N24+O24</f>
        <v>0</v>
      </c>
      <c r="Q24" s="21"/>
      <c r="R24" s="5"/>
      <c r="S24" s="22" t="str">
        <f>K24+L24</f>
        <v>0</v>
      </c>
      <c r="T24" s="1"/>
      <c r="U24" s="1"/>
      <c r="V24" s="1"/>
      <c r="W24" s="1"/>
      <c r="X24" s="1"/>
      <c r="Y24" s="1"/>
      <c r="Z24" s="1"/>
    </row>
    <row r="25" spans="1:26" customHeight="1" ht="12">
      <c r="A25" s="1"/>
      <c r="B25" s="19"/>
      <c r="C25" s="21" t="s">
        <v>42</v>
      </c>
      <c r="D25" s="15" t="s">
        <v>39</v>
      </c>
      <c r="E25" s="16">
        <v>0</v>
      </c>
      <c r="F25" s="16">
        <v>0</v>
      </c>
      <c r="G25" s="17">
        <v>0</v>
      </c>
      <c r="H25" s="17">
        <v>0</v>
      </c>
      <c r="I25" s="17">
        <v>0</v>
      </c>
      <c r="J25" s="17">
        <v>0</v>
      </c>
      <c r="K25" s="17" t="str">
        <f>SUMIFS(G25:J25,$G$14:$J$14,$K$13)</f>
        <v>0</v>
      </c>
      <c r="L25" s="17" t="str">
        <f>SUMIFS(G25:J25,$G$14:$J$14,$L$13)</f>
        <v>0</v>
      </c>
      <c r="M25" s="17"/>
      <c r="N25" s="17"/>
      <c r="O25" s="17" t="str">
        <f>L25*F25</f>
        <v>0</v>
      </c>
      <c r="P25" s="17" t="str">
        <f>N25+O25</f>
        <v>0</v>
      </c>
      <c r="Q25" s="21" t="s">
        <v>40</v>
      </c>
      <c r="R25" s="5"/>
      <c r="S25" s="22" t="str">
        <f>K25+L25</f>
        <v>0</v>
      </c>
      <c r="T25" s="1"/>
      <c r="U25" s="1"/>
      <c r="V25" s="1"/>
      <c r="W25" s="1"/>
      <c r="X25" s="1"/>
      <c r="Y25" s="1"/>
      <c r="Z25" s="1"/>
    </row>
    <row r="26" spans="1:26" customHeight="1" ht="12">
      <c r="A26" s="1"/>
      <c r="B26" s="19"/>
      <c r="C26" s="21" t="s">
        <v>43</v>
      </c>
      <c r="D26" s="15" t="s">
        <v>39</v>
      </c>
      <c r="E26" s="16">
        <v>0</v>
      </c>
      <c r="F26" s="16">
        <v>4000</v>
      </c>
      <c r="G26" s="17">
        <v>0</v>
      </c>
      <c r="H26" s="17">
        <v>0</v>
      </c>
      <c r="I26" s="17">
        <v>0</v>
      </c>
      <c r="J26" s="17">
        <v>0</v>
      </c>
      <c r="K26" s="17" t="str">
        <f>SUMIFS(G26:J26,$G$14:$J$14,$K$13)</f>
        <v>0</v>
      </c>
      <c r="L26" s="17" t="str">
        <f>SUMIFS(G26:J26,$G$14:$J$14,$L$13)</f>
        <v>0</v>
      </c>
      <c r="M26" s="17"/>
      <c r="N26" s="17"/>
      <c r="O26" s="17" t="str">
        <f>L26*F26</f>
        <v>0</v>
      </c>
      <c r="P26" s="17" t="str">
        <f>N26+O26</f>
        <v>0</v>
      </c>
      <c r="Q26" s="21"/>
      <c r="R26" s="5"/>
      <c r="S26" s="22" t="str">
        <f>K26+L26</f>
        <v>0</v>
      </c>
      <c r="T26" s="1"/>
      <c r="U26" s="1"/>
      <c r="V26" s="1"/>
      <c r="W26" s="1"/>
      <c r="X26" s="1"/>
      <c r="Y26" s="1"/>
      <c r="Z26" s="1"/>
    </row>
    <row r="27" spans="1:26" customHeight="1" ht="12">
      <c r="A27" s="1"/>
      <c r="B27" s="19"/>
      <c r="C27" s="21" t="s">
        <v>44</v>
      </c>
      <c r="D27" s="15" t="s">
        <v>39</v>
      </c>
      <c r="E27" s="16">
        <v>0</v>
      </c>
      <c r="F27" s="16">
        <v>0</v>
      </c>
      <c r="G27" s="17">
        <v>0</v>
      </c>
      <c r="H27" s="17">
        <v>0</v>
      </c>
      <c r="I27" s="17">
        <v>0</v>
      </c>
      <c r="J27" s="17">
        <v>0</v>
      </c>
      <c r="K27" s="17" t="str">
        <f>SUMIFS(G27:J27,$G$14:$J$14,$K$13)</f>
        <v>0</v>
      </c>
      <c r="L27" s="17" t="str">
        <f>SUMIFS(G27:J27,$G$14:$J$14,$L$13)</f>
        <v>0</v>
      </c>
      <c r="M27" s="17"/>
      <c r="N27" s="17"/>
      <c r="O27" s="17" t="str">
        <f>L27*F27</f>
        <v>0</v>
      </c>
      <c r="P27" s="17" t="str">
        <f>N27+O27</f>
        <v>0</v>
      </c>
      <c r="Q27" s="21" t="s">
        <v>40</v>
      </c>
      <c r="R27" s="5"/>
      <c r="S27" s="22" t="str">
        <f>K27+L27</f>
        <v>0</v>
      </c>
      <c r="T27" s="1"/>
      <c r="U27" s="1"/>
      <c r="V27" s="1"/>
      <c r="W27" s="1"/>
      <c r="X27" s="1"/>
      <c r="Y27" s="1"/>
      <c r="Z27" s="1"/>
    </row>
    <row r="28" spans="1:26" customHeight="1" ht="12">
      <c r="A28" s="1"/>
      <c r="B28" s="19"/>
      <c r="C28" s="21" t="s">
        <v>45</v>
      </c>
      <c r="D28" s="15" t="s">
        <v>39</v>
      </c>
      <c r="E28" s="16">
        <v>0</v>
      </c>
      <c r="F28" s="16">
        <v>4000</v>
      </c>
      <c r="G28" s="17">
        <v>0</v>
      </c>
      <c r="H28" s="17">
        <v>0</v>
      </c>
      <c r="I28" s="17">
        <v>0</v>
      </c>
      <c r="J28" s="17">
        <v>0</v>
      </c>
      <c r="K28" s="17" t="str">
        <f>SUMIFS(G28:J28,$G$14:$J$14,$K$13)</f>
        <v>0</v>
      </c>
      <c r="L28" s="17" t="str">
        <f>SUMIFS(G28:J28,$G$14:$J$14,$L$13)</f>
        <v>0</v>
      </c>
      <c r="M28" s="17"/>
      <c r="N28" s="17"/>
      <c r="O28" s="17" t="str">
        <f>L28*F28</f>
        <v>0</v>
      </c>
      <c r="P28" s="17" t="str">
        <f>N28+O28</f>
        <v>0</v>
      </c>
      <c r="Q28" s="21"/>
      <c r="R28" s="5"/>
      <c r="S28" s="22" t="str">
        <f>K28+L28</f>
        <v>0</v>
      </c>
      <c r="T28" s="1"/>
      <c r="U28" s="1"/>
      <c r="V28" s="1"/>
      <c r="W28" s="1"/>
      <c r="X28" s="1"/>
      <c r="Y28" s="1"/>
      <c r="Z28" s="1"/>
    </row>
    <row r="29" spans="1:26" customHeight="1" ht="12">
      <c r="A29" s="1"/>
      <c r="B29" s="19"/>
      <c r="C29" s="21" t="s">
        <v>46</v>
      </c>
      <c r="D29" s="15" t="s">
        <v>39</v>
      </c>
      <c r="E29" s="16">
        <v>0</v>
      </c>
      <c r="F29" s="16">
        <v>0</v>
      </c>
      <c r="G29" s="17">
        <v>0</v>
      </c>
      <c r="H29" s="17">
        <v>0</v>
      </c>
      <c r="I29" s="17">
        <v>0</v>
      </c>
      <c r="J29" s="17">
        <v>0</v>
      </c>
      <c r="K29" s="17" t="str">
        <f>SUMIFS(G29:J29,$G$14:$J$14,$K$13)</f>
        <v>0</v>
      </c>
      <c r="L29" s="17" t="str">
        <f>SUMIFS(G29:J29,$G$14:$J$14,$L$13)</f>
        <v>0</v>
      </c>
      <c r="M29" s="17"/>
      <c r="N29" s="17"/>
      <c r="O29" s="17" t="str">
        <f>L29*F29</f>
        <v>0</v>
      </c>
      <c r="P29" s="17" t="str">
        <f>N29+O29</f>
        <v>0</v>
      </c>
      <c r="Q29" s="21"/>
      <c r="R29" s="5"/>
      <c r="S29" s="22" t="str">
        <f>K29+L29</f>
        <v>0</v>
      </c>
      <c r="T29" s="1"/>
      <c r="U29" s="1"/>
      <c r="V29" s="1"/>
      <c r="W29" s="1"/>
      <c r="X29" s="1"/>
      <c r="Y29" s="1"/>
      <c r="Z29" s="1"/>
    </row>
    <row r="30" spans="1:26" customHeight="1" ht="12">
      <c r="A30" s="1"/>
      <c r="B30" s="19"/>
      <c r="C30" s="21" t="s">
        <v>47</v>
      </c>
      <c r="D30" s="15" t="s">
        <v>39</v>
      </c>
      <c r="E30" s="16">
        <v>0</v>
      </c>
      <c r="F30" s="16">
        <v>5000</v>
      </c>
      <c r="G30" s="17">
        <v>0</v>
      </c>
      <c r="H30" s="17">
        <v>0</v>
      </c>
      <c r="I30" s="17">
        <v>0</v>
      </c>
      <c r="J30" s="17">
        <v>0</v>
      </c>
      <c r="K30" s="17" t="str">
        <f>SUMIFS(G30:J30,$G$14:$J$14,$K$13)</f>
        <v>0</v>
      </c>
      <c r="L30" s="17" t="str">
        <f>SUMIFS(G30:J30,$G$14:$J$14,$L$13)</f>
        <v>0</v>
      </c>
      <c r="M30" s="17"/>
      <c r="N30" s="17"/>
      <c r="O30" s="17" t="str">
        <f>L30*F30</f>
        <v>0</v>
      </c>
      <c r="P30" s="17" t="str">
        <f>N30+O30</f>
        <v>0</v>
      </c>
      <c r="Q30" s="21"/>
      <c r="R30" s="5"/>
      <c r="S30" s="22" t="str">
        <f>K30+L30</f>
        <v>0</v>
      </c>
      <c r="T30" s="1"/>
      <c r="U30" s="1"/>
      <c r="V30" s="1"/>
      <c r="W30" s="1"/>
      <c r="X30" s="1"/>
      <c r="Y30" s="1"/>
      <c r="Z30" s="1"/>
    </row>
    <row r="31" spans="1:26" customHeight="1" ht="12">
      <c r="A31" s="1"/>
      <c r="B31" s="19"/>
      <c r="C31" s="21" t="s">
        <v>48</v>
      </c>
      <c r="D31" s="15" t="s">
        <v>39</v>
      </c>
      <c r="E31" s="16">
        <v>0</v>
      </c>
      <c r="F31" s="16">
        <v>0</v>
      </c>
      <c r="G31" s="17">
        <v>0</v>
      </c>
      <c r="H31" s="17">
        <v>0</v>
      </c>
      <c r="I31" s="17">
        <v>0</v>
      </c>
      <c r="J31" s="17">
        <v>0</v>
      </c>
      <c r="K31" s="17" t="str">
        <f>SUMIFS(G31:J31,$G$14:$J$14,$K$13)</f>
        <v>0</v>
      </c>
      <c r="L31" s="17" t="str">
        <f>SUMIFS(G31:J31,$G$14:$J$14,$L$13)</f>
        <v>0</v>
      </c>
      <c r="M31" s="17"/>
      <c r="N31" s="17"/>
      <c r="O31" s="17" t="str">
        <f>L31*F31</f>
        <v>0</v>
      </c>
      <c r="P31" s="17" t="str">
        <f>N31+O31</f>
        <v>0</v>
      </c>
      <c r="Q31" s="21"/>
      <c r="R31" s="5"/>
      <c r="S31" s="22" t="str">
        <f>K31+L31</f>
        <v>0</v>
      </c>
      <c r="T31" s="1"/>
      <c r="U31" s="1"/>
      <c r="V31" s="1"/>
      <c r="W31" s="1"/>
      <c r="X31" s="1"/>
      <c r="Y31" s="1"/>
      <c r="Z31" s="1"/>
    </row>
    <row r="32" spans="1:26" customHeight="1" ht="12">
      <c r="A32" s="1"/>
      <c r="B32" s="19"/>
      <c r="C32" s="21" t="s">
        <v>49</v>
      </c>
      <c r="D32" s="15" t="s">
        <v>39</v>
      </c>
      <c r="E32" s="16">
        <v>0</v>
      </c>
      <c r="F32" s="16">
        <v>5500</v>
      </c>
      <c r="G32" s="17">
        <v>0</v>
      </c>
      <c r="H32" s="17">
        <v>0</v>
      </c>
      <c r="I32" s="17">
        <v>0</v>
      </c>
      <c r="J32" s="17">
        <v>0</v>
      </c>
      <c r="K32" s="17" t="str">
        <f>SUMIFS(G32:J32,$G$14:$J$14,$K$13)</f>
        <v>0</v>
      </c>
      <c r="L32" s="17" t="str">
        <f>SUMIFS(G32:J32,$G$14:$J$14,$L$13)</f>
        <v>0</v>
      </c>
      <c r="M32" s="17"/>
      <c r="N32" s="17"/>
      <c r="O32" s="17" t="str">
        <f>L32*F32</f>
        <v>0</v>
      </c>
      <c r="P32" s="17" t="str">
        <f>N32+O32</f>
        <v>0</v>
      </c>
      <c r="Q32" s="21"/>
      <c r="R32" s="5"/>
      <c r="S32" s="22" t="str">
        <f>K32+L32</f>
        <v>0</v>
      </c>
      <c r="T32" s="1"/>
      <c r="U32" s="1"/>
      <c r="V32" s="1"/>
      <c r="W32" s="1"/>
      <c r="X32" s="1"/>
      <c r="Y32" s="1"/>
      <c r="Z32" s="1"/>
    </row>
    <row r="33" spans="1:26" customHeight="1" ht="12">
      <c r="A33" s="1"/>
      <c r="B33" s="19"/>
      <c r="C33" s="21" t="s">
        <v>50</v>
      </c>
      <c r="D33" s="15" t="s">
        <v>39</v>
      </c>
      <c r="E33" s="16">
        <v>0</v>
      </c>
      <c r="F33" s="16">
        <v>0</v>
      </c>
      <c r="G33" s="17">
        <v>0</v>
      </c>
      <c r="H33" s="17">
        <v>0</v>
      </c>
      <c r="I33" s="17">
        <v>0</v>
      </c>
      <c r="J33" s="17">
        <v>0</v>
      </c>
      <c r="K33" s="17" t="str">
        <f>SUMIFS(G33:J33,$G$14:$J$14,$K$13)</f>
        <v>0</v>
      </c>
      <c r="L33" s="17" t="str">
        <f>SUMIFS(G33:J33,$G$14:$J$14,$L$13)</f>
        <v>0</v>
      </c>
      <c r="M33" s="17"/>
      <c r="N33" s="17"/>
      <c r="O33" s="17" t="str">
        <f>L33*F33</f>
        <v>0</v>
      </c>
      <c r="P33" s="17" t="str">
        <f>N33+O33</f>
        <v>0</v>
      </c>
      <c r="Q33" s="21"/>
      <c r="R33" s="5"/>
      <c r="S33" s="22" t="str">
        <f>K33+L33</f>
        <v>0</v>
      </c>
      <c r="T33" s="1"/>
      <c r="U33" s="1"/>
      <c r="V33" s="1"/>
      <c r="W33" s="1"/>
      <c r="X33" s="1"/>
      <c r="Y33" s="1"/>
      <c r="Z33" s="1"/>
    </row>
    <row r="34" spans="1:26" customHeight="1" ht="12">
      <c r="A34" s="1"/>
      <c r="B34" s="19"/>
      <c r="C34" s="21" t="s">
        <v>51</v>
      </c>
      <c r="D34" s="15" t="s">
        <v>39</v>
      </c>
      <c r="E34" s="16">
        <v>0</v>
      </c>
      <c r="F34" s="16">
        <v>5000</v>
      </c>
      <c r="G34" s="17">
        <v>0</v>
      </c>
      <c r="H34" s="17">
        <v>0</v>
      </c>
      <c r="I34" s="17">
        <v>0</v>
      </c>
      <c r="J34" s="17">
        <v>0</v>
      </c>
      <c r="K34" s="17" t="str">
        <f>SUMIFS(G34:J34,$G$14:$J$14,$K$13)</f>
        <v>0</v>
      </c>
      <c r="L34" s="17" t="str">
        <f>SUMIFS(G34:J34,$G$14:$J$14,$L$13)</f>
        <v>0</v>
      </c>
      <c r="M34" s="17"/>
      <c r="N34" s="17"/>
      <c r="O34" s="17" t="str">
        <f>L34*F34</f>
        <v>0</v>
      </c>
      <c r="P34" s="17" t="str">
        <f>N34+O34</f>
        <v>0</v>
      </c>
      <c r="Q34" s="21"/>
      <c r="R34" s="5"/>
      <c r="S34" s="22" t="str">
        <f>K34+L34</f>
        <v>0</v>
      </c>
      <c r="T34" s="1"/>
      <c r="U34" s="1"/>
      <c r="V34" s="1"/>
      <c r="W34" s="1"/>
      <c r="X34" s="1"/>
      <c r="Y34" s="1"/>
      <c r="Z34" s="1"/>
    </row>
    <row r="35" spans="1:26" customHeight="1" ht="12">
      <c r="A35" s="1"/>
      <c r="B35" s="19"/>
      <c r="C35" s="21" t="s">
        <v>52</v>
      </c>
      <c r="D35" s="15" t="s">
        <v>39</v>
      </c>
      <c r="E35" s="16">
        <v>0</v>
      </c>
      <c r="F35" s="16">
        <v>0</v>
      </c>
      <c r="G35" s="17">
        <v>0</v>
      </c>
      <c r="H35" s="17">
        <v>0</v>
      </c>
      <c r="I35" s="17">
        <v>0</v>
      </c>
      <c r="J35" s="17">
        <v>0</v>
      </c>
      <c r="K35" s="17" t="str">
        <f>SUMIFS(G35:J35,$G$14:$J$14,$K$13)</f>
        <v>0</v>
      </c>
      <c r="L35" s="17" t="str">
        <f>SUMIFS(G35:J35,$G$14:$J$14,$L$13)</f>
        <v>0</v>
      </c>
      <c r="M35" s="17"/>
      <c r="N35" s="17"/>
      <c r="O35" s="17" t="str">
        <f>L35*F35</f>
        <v>0</v>
      </c>
      <c r="P35" s="17" t="str">
        <f>N35+O35</f>
        <v>0</v>
      </c>
      <c r="Q35" s="21"/>
      <c r="R35" s="5"/>
      <c r="S35" s="22" t="str">
        <f>K35+L35</f>
        <v>0</v>
      </c>
      <c r="T35" s="1"/>
      <c r="U35" s="1"/>
      <c r="V35" s="1"/>
      <c r="W35" s="1"/>
      <c r="X35" s="1"/>
      <c r="Y35" s="1"/>
      <c r="Z35" s="1"/>
    </row>
    <row r="36" spans="1:26" customHeight="1" ht="12.75">
      <c r="A36" s="1"/>
      <c r="B36" s="19"/>
      <c r="C36" s="21" t="s">
        <v>53</v>
      </c>
      <c r="D36" s="15" t="s">
        <v>39</v>
      </c>
      <c r="E36" s="16">
        <v>0</v>
      </c>
      <c r="F36" s="16">
        <v>5200</v>
      </c>
      <c r="G36" s="17">
        <v>0</v>
      </c>
      <c r="H36" s="17">
        <v>0</v>
      </c>
      <c r="I36" s="17">
        <v>0</v>
      </c>
      <c r="J36" s="17">
        <v>0</v>
      </c>
      <c r="K36" s="17" t="str">
        <f>SUMIFS(G36:J36,$G$14:$J$14,$K$13)</f>
        <v>0</v>
      </c>
      <c r="L36" s="17" t="str">
        <f>SUMIFS(G36:J36,$G$14:$J$14,$L$13)</f>
        <v>0</v>
      </c>
      <c r="M36" s="17"/>
      <c r="N36" s="17"/>
      <c r="O36" s="17" t="str">
        <f>L36*F36</f>
        <v>0</v>
      </c>
      <c r="P36" s="17" t="str">
        <f>N36+O36</f>
        <v>0</v>
      </c>
      <c r="Q36" s="21"/>
      <c r="R36" s="5"/>
      <c r="S36" s="22" t="str">
        <f>K36+L36</f>
        <v>0</v>
      </c>
      <c r="T36" s="1"/>
      <c r="U36" s="1"/>
      <c r="V36" s="1"/>
      <c r="W36" s="1"/>
      <c r="X36" s="1"/>
      <c r="Y36" s="1"/>
      <c r="Z36" s="1"/>
    </row>
    <row r="37" spans="1:26" customHeight="1" ht="12.75">
      <c r="A37" s="1"/>
      <c r="B37" s="19"/>
      <c r="C37" s="21" t="s">
        <v>54</v>
      </c>
      <c r="D37" s="15" t="s">
        <v>55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tr">
        <f>SUMIFS(G37:J37,$G$14:$J$14,$K$13)</f>
        <v>0</v>
      </c>
      <c r="L37" s="16" t="str">
        <f>SUMIFS(G37:J37,$G$14:$J$14,$L$13)</f>
        <v>0</v>
      </c>
      <c r="M37" s="16"/>
      <c r="N37" s="16"/>
      <c r="O37" s="17" t="str">
        <f>L37*F37</f>
        <v>0</v>
      </c>
      <c r="P37" s="17" t="str">
        <f>N37+O37</f>
        <v>0</v>
      </c>
      <c r="Q37" s="21"/>
      <c r="R37" s="5"/>
      <c r="S37" s="22" t="str">
        <f>K37+L37</f>
        <v>0</v>
      </c>
      <c r="T37" s="1"/>
      <c r="U37" s="1"/>
      <c r="V37" s="1"/>
      <c r="W37" s="1"/>
      <c r="X37" s="1"/>
      <c r="Y37" s="1"/>
      <c r="Z37" s="1"/>
    </row>
    <row r="38" spans="1:26" customHeight="1" ht="12.75">
      <c r="A38" s="1"/>
      <c r="B38" s="19"/>
      <c r="C38" s="21" t="s">
        <v>56</v>
      </c>
      <c r="D38" s="15" t="s">
        <v>55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tr">
        <f>SUMIFS(G38:J38,$G$14:$J$14,$K$13)</f>
        <v>0</v>
      </c>
      <c r="L38" s="16" t="str">
        <f>SUMIFS(G38:J38,$G$14:$J$14,$L$13)</f>
        <v>0</v>
      </c>
      <c r="M38" s="16"/>
      <c r="N38" s="16"/>
      <c r="O38" s="17" t="str">
        <f>L38*F38</f>
        <v>0</v>
      </c>
      <c r="P38" s="17" t="str">
        <f>N38+O38</f>
        <v>0</v>
      </c>
      <c r="Q38" s="21"/>
      <c r="R38" s="5"/>
      <c r="S38" s="22" t="str">
        <f>K38+L38</f>
        <v>0</v>
      </c>
      <c r="T38" s="1"/>
      <c r="U38" s="1"/>
      <c r="V38" s="1"/>
      <c r="W38" s="1"/>
      <c r="X38" s="1"/>
      <c r="Y38" s="1"/>
      <c r="Z38" s="1"/>
    </row>
    <row r="39" spans="1:26" customHeight="1" ht="12.75">
      <c r="A39" s="1"/>
      <c r="B39" s="19"/>
      <c r="C39" s="21" t="s">
        <v>57</v>
      </c>
      <c r="D39" s="15" t="s">
        <v>55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tr">
        <f>SUMIFS(G39:J39,$G$14:$J$14,$K$13)</f>
        <v>0</v>
      </c>
      <c r="L39" s="16" t="str">
        <f>SUMIFS(G39:J39,$G$14:$J$14,$L$13)</f>
        <v>0</v>
      </c>
      <c r="M39" s="16"/>
      <c r="N39" s="16"/>
      <c r="O39" s="17" t="str">
        <f>L39*F39</f>
        <v>0</v>
      </c>
      <c r="P39" s="17" t="str">
        <f>N39+O39</f>
        <v>0</v>
      </c>
      <c r="Q39" s="21"/>
      <c r="R39" s="5"/>
      <c r="S39" s="22" t="str">
        <f>K39+L39</f>
        <v>0</v>
      </c>
      <c r="T39" s="1"/>
      <c r="U39" s="1"/>
      <c r="V39" s="1"/>
      <c r="W39" s="1"/>
      <c r="X39" s="1"/>
      <c r="Y39" s="1"/>
      <c r="Z39" s="1"/>
    </row>
    <row r="40" spans="1:26" customHeight="1" ht="12.75">
      <c r="A40" s="1"/>
      <c r="B40" s="19"/>
      <c r="C40" s="21" t="s">
        <v>58</v>
      </c>
      <c r="D40" s="15" t="s">
        <v>55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tr">
        <f>SUMIFS(G40:J40,$G$14:$J$14,$K$13)</f>
        <v>0</v>
      </c>
      <c r="L40" s="16" t="str">
        <f>SUMIFS(G40:J40,$G$14:$J$14,$L$13)</f>
        <v>0</v>
      </c>
      <c r="M40" s="16"/>
      <c r="N40" s="16"/>
      <c r="O40" s="17" t="str">
        <f>L40*F40</f>
        <v>0</v>
      </c>
      <c r="P40" s="17" t="str">
        <f>N40+O40</f>
        <v>0</v>
      </c>
      <c r="Q40" s="21"/>
      <c r="R40" s="5"/>
      <c r="S40" s="22" t="str">
        <f>K40+L40</f>
        <v>0</v>
      </c>
      <c r="T40" s="1"/>
      <c r="U40" s="1"/>
      <c r="V40" s="1"/>
      <c r="W40" s="1"/>
      <c r="X40" s="1"/>
      <c r="Y40" s="1"/>
      <c r="Z40" s="1"/>
    </row>
    <row r="41" spans="1:26" customHeight="1" ht="12.75">
      <c r="A41" s="1"/>
      <c r="B41" s="19"/>
      <c r="C41" s="21" t="s">
        <v>59</v>
      </c>
      <c r="D41" s="15" t="s">
        <v>55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tr">
        <f>SUMIFS(G41:J41,$G$14:$J$14,$K$13)</f>
        <v>0</v>
      </c>
      <c r="L41" s="16" t="str">
        <f>SUMIFS(G41:J41,$G$14:$J$14,$L$13)</f>
        <v>0</v>
      </c>
      <c r="M41" s="16"/>
      <c r="N41" s="16"/>
      <c r="O41" s="17" t="str">
        <f>L41*F41</f>
        <v>0</v>
      </c>
      <c r="P41" s="17" t="str">
        <f>N41+O41</f>
        <v>0</v>
      </c>
      <c r="Q41" s="21"/>
      <c r="R41" s="5"/>
      <c r="S41" s="22" t="str">
        <f>K41+L41</f>
        <v>0</v>
      </c>
      <c r="T41" s="1"/>
      <c r="U41" s="1"/>
      <c r="V41" s="1"/>
      <c r="W41" s="1"/>
      <c r="X41" s="1"/>
      <c r="Y41" s="1"/>
      <c r="Z41" s="1"/>
    </row>
    <row r="42" spans="1:26" customHeight="1" ht="12.75">
      <c r="A42" s="1"/>
      <c r="B42" s="19"/>
      <c r="C42" s="21" t="s">
        <v>60</v>
      </c>
      <c r="D42" s="15" t="s">
        <v>55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tr">
        <f>SUMIFS(G42:J42,$G$14:$J$14,$K$13)</f>
        <v>0</v>
      </c>
      <c r="L42" s="16" t="str">
        <f>SUMIFS(G42:J42,$G$14:$J$14,$L$13)</f>
        <v>0</v>
      </c>
      <c r="M42" s="16"/>
      <c r="N42" s="16"/>
      <c r="O42" s="17" t="str">
        <f>L42*F42</f>
        <v>0</v>
      </c>
      <c r="P42" s="17" t="str">
        <f>N42+O42</f>
        <v>0</v>
      </c>
      <c r="Q42" s="21"/>
      <c r="R42" s="5"/>
      <c r="S42" s="22" t="str">
        <f>K42+L42</f>
        <v>0</v>
      </c>
      <c r="T42" s="1"/>
      <c r="U42" s="1"/>
      <c r="V42" s="1"/>
      <c r="W42" s="1"/>
      <c r="X42" s="1"/>
      <c r="Y42" s="1"/>
      <c r="Z42" s="1"/>
    </row>
    <row r="43" spans="1:26" customHeight="1" ht="12.75">
      <c r="A43" s="1"/>
      <c r="B43" s="19"/>
      <c r="C43" s="21" t="s">
        <v>61</v>
      </c>
      <c r="D43" s="15" t="s">
        <v>55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tr">
        <f>SUMIFS(G43:J43,$G$14:$J$14,$K$13)</f>
        <v>0</v>
      </c>
      <c r="L43" s="16" t="str">
        <f>SUMIFS(G43:J43,$G$14:$J$14,$L$13)</f>
        <v>0</v>
      </c>
      <c r="M43" s="16"/>
      <c r="N43" s="16"/>
      <c r="O43" s="17" t="str">
        <f>L43*F43</f>
        <v>0</v>
      </c>
      <c r="P43" s="17" t="str">
        <f>N43+O43</f>
        <v>0</v>
      </c>
      <c r="Q43" s="21"/>
      <c r="R43" s="5"/>
      <c r="S43" s="22" t="str">
        <f>K43+L43</f>
        <v>0</v>
      </c>
      <c r="T43" s="1"/>
      <c r="U43" s="1"/>
      <c r="V43" s="1"/>
      <c r="W43" s="1"/>
      <c r="X43" s="1"/>
      <c r="Y43" s="1"/>
      <c r="Z43" s="1"/>
    </row>
    <row r="44" spans="1:26" customHeight="1" ht="12.75">
      <c r="A44" s="1"/>
      <c r="B44" s="19"/>
      <c r="C44" s="21" t="s">
        <v>62</v>
      </c>
      <c r="D44" s="15" t="s">
        <v>55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tr">
        <f>SUMIFS(G44:J44,$G$14:$J$14,$K$13)</f>
        <v>0</v>
      </c>
      <c r="L44" s="16" t="str">
        <f>SUMIFS(G44:J44,$G$14:$J$14,$L$13)</f>
        <v>0</v>
      </c>
      <c r="M44" s="16"/>
      <c r="N44" s="16"/>
      <c r="O44" s="17" t="str">
        <f>L44*F44</f>
        <v>0</v>
      </c>
      <c r="P44" s="17" t="str">
        <f>N44+O44</f>
        <v>0</v>
      </c>
      <c r="Q44" s="21"/>
      <c r="R44" s="5"/>
      <c r="S44" s="22" t="str">
        <f>K44+L44</f>
        <v>0</v>
      </c>
      <c r="T44" s="1"/>
      <c r="U44" s="1"/>
      <c r="V44" s="1"/>
      <c r="W44" s="1"/>
      <c r="X44" s="1"/>
      <c r="Y44" s="1"/>
      <c r="Z44" s="1"/>
    </row>
    <row r="45" spans="1:26" customHeight="1" ht="12.75">
      <c r="A45" s="1"/>
      <c r="B45" s="19"/>
      <c r="C45" s="31" t="s">
        <v>63</v>
      </c>
      <c r="D45" s="15" t="s">
        <v>55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tr">
        <f>SUMIFS(G45:J45,$G$14:$J$14,$K$13)</f>
        <v>0</v>
      </c>
      <c r="L45" s="16" t="str">
        <f>SUMIFS(G45:J45,$G$14:$J$14,$L$13)</f>
        <v>0</v>
      </c>
      <c r="M45" s="16"/>
      <c r="N45" s="16"/>
      <c r="O45" s="17" t="str">
        <f>L45*F45</f>
        <v>0</v>
      </c>
      <c r="P45" s="17" t="str">
        <f>N45+O45</f>
        <v>0</v>
      </c>
      <c r="Q45" s="21"/>
      <c r="R45" s="5"/>
      <c r="S45" s="22" t="str">
        <f>K45+L45</f>
        <v>0</v>
      </c>
      <c r="T45" s="1"/>
      <c r="U45" s="1"/>
      <c r="V45" s="1"/>
      <c r="W45" s="1"/>
      <c r="X45" s="1"/>
      <c r="Y45" s="1"/>
      <c r="Z45" s="1"/>
    </row>
    <row r="46" spans="1:26" customHeight="1" ht="12.75">
      <c r="A46" s="1"/>
      <c r="B46" s="19"/>
      <c r="C46" s="31" t="s">
        <v>64</v>
      </c>
      <c r="D46" s="15" t="s">
        <v>55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tr">
        <f>SUMIFS(G46:J46,$G$14:$J$14,$K$13)</f>
        <v>0</v>
      </c>
      <c r="L46" s="16" t="str">
        <f>SUMIFS(G46:J46,$G$14:$J$14,$L$13)</f>
        <v>0</v>
      </c>
      <c r="M46" s="16"/>
      <c r="N46" s="16"/>
      <c r="O46" s="17" t="str">
        <f>L46*F46</f>
        <v>0</v>
      </c>
      <c r="P46" s="17" t="str">
        <f>N46+O46</f>
        <v>0</v>
      </c>
      <c r="Q46" s="21"/>
      <c r="R46" s="5"/>
      <c r="S46" s="22" t="str">
        <f>K46+L46</f>
        <v>0</v>
      </c>
      <c r="T46" s="1"/>
      <c r="U46" s="1"/>
      <c r="V46" s="1"/>
      <c r="W46" s="1"/>
      <c r="X46" s="1"/>
      <c r="Y46" s="1"/>
      <c r="Z46" s="1"/>
    </row>
    <row r="47" spans="1:26" customHeight="1" ht="12.75">
      <c r="A47" s="1"/>
      <c r="B47" s="19"/>
      <c r="C47" s="31" t="s">
        <v>65</v>
      </c>
      <c r="D47" s="15" t="s">
        <v>55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tr">
        <f>SUMIFS(G47:J47,$G$14:$J$14,$K$13)</f>
        <v>0</v>
      </c>
      <c r="L47" s="16" t="str">
        <f>SUMIFS(G47:J47,$G$14:$J$14,$L$13)</f>
        <v>0</v>
      </c>
      <c r="M47" s="16"/>
      <c r="N47" s="16"/>
      <c r="O47" s="17" t="str">
        <f>L47*F47</f>
        <v>0</v>
      </c>
      <c r="P47" s="17" t="str">
        <f>N47+O47</f>
        <v>0</v>
      </c>
      <c r="Q47" s="21"/>
      <c r="R47" s="5"/>
      <c r="S47" s="22" t="str">
        <f>K47+L47</f>
        <v>0</v>
      </c>
      <c r="T47" s="1"/>
      <c r="U47" s="1"/>
      <c r="V47" s="1"/>
      <c r="W47" s="1"/>
      <c r="X47" s="1"/>
      <c r="Y47" s="1"/>
      <c r="Z47" s="1"/>
    </row>
    <row r="48" spans="1:26" customHeight="1" ht="12.75">
      <c r="A48" s="1"/>
      <c r="B48" s="19"/>
      <c r="C48" s="31" t="s">
        <v>66</v>
      </c>
      <c r="D48" s="15" t="s">
        <v>55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tr">
        <f>SUMIFS(G48:J48,$G$14:$J$14,$K$13)</f>
        <v>0</v>
      </c>
      <c r="L48" s="16" t="str">
        <f>SUMIFS(G48:J48,$G$14:$J$14,$L$13)</f>
        <v>0</v>
      </c>
      <c r="M48" s="16"/>
      <c r="N48" s="16"/>
      <c r="O48" s="17" t="str">
        <f>L48*F48</f>
        <v>0</v>
      </c>
      <c r="P48" s="17" t="str">
        <f>N48+O48</f>
        <v>0</v>
      </c>
      <c r="Q48" s="21"/>
      <c r="R48" s="5"/>
      <c r="S48" s="22" t="str">
        <f>K48+L48</f>
        <v>0</v>
      </c>
      <c r="T48" s="1"/>
      <c r="U48" s="1"/>
      <c r="V48" s="1"/>
      <c r="W48" s="1"/>
      <c r="X48" s="1"/>
      <c r="Y48" s="1"/>
      <c r="Z48" s="1"/>
    </row>
    <row r="49" spans="1:26" customHeight="1" ht="12">
      <c r="A49" s="1"/>
      <c r="B49" s="19" t="s">
        <v>67</v>
      </c>
      <c r="C49" s="21" t="s">
        <v>68</v>
      </c>
      <c r="D49" s="15"/>
      <c r="E49" s="16">
        <v>0</v>
      </c>
      <c r="F49" s="16">
        <v>0</v>
      </c>
      <c r="G49" s="17">
        <v>0</v>
      </c>
      <c r="H49" s="17">
        <v>0</v>
      </c>
      <c r="I49" s="17">
        <v>0</v>
      </c>
      <c r="J49" s="17">
        <v>0</v>
      </c>
      <c r="K49" s="17" t="str">
        <f>SUMIFS(G49:J49,$G$14:$J$14,$K$13)</f>
        <v>0</v>
      </c>
      <c r="L49" s="17" t="str">
        <f>SUMIFS(G49:J49,$G$14:$J$14,$L$13)</f>
        <v>0</v>
      </c>
      <c r="M49" s="17"/>
      <c r="N49" s="17"/>
      <c r="O49" s="17" t="str">
        <f>L49*F49</f>
        <v>0</v>
      </c>
      <c r="P49" s="17" t="str">
        <f>N49+O49</f>
        <v>0</v>
      </c>
      <c r="Q49" s="21"/>
      <c r="R49" s="5"/>
      <c r="S49" s="22" t="str">
        <f>K49+L49</f>
        <v>0</v>
      </c>
      <c r="T49" s="1"/>
      <c r="U49" s="1"/>
      <c r="V49" s="1"/>
      <c r="W49" s="1"/>
      <c r="X49" s="1"/>
      <c r="Y49" s="1"/>
      <c r="Z49" s="1"/>
    </row>
    <row r="50" spans="1:26" customHeight="1" ht="12">
      <c r="A50" s="1"/>
      <c r="B50" s="19"/>
      <c r="C50" s="21" t="s">
        <v>69</v>
      </c>
      <c r="D50" s="19" t="s">
        <v>55</v>
      </c>
      <c r="E50" s="16">
        <v>0</v>
      </c>
      <c r="F50" s="16">
        <v>0</v>
      </c>
      <c r="G50" s="17">
        <v>1</v>
      </c>
      <c r="H50" s="17">
        <v>0</v>
      </c>
      <c r="I50" s="17">
        <v>0</v>
      </c>
      <c r="J50" s="17">
        <v>0</v>
      </c>
      <c r="K50" s="17" t="str">
        <f>SUMIFS(G50:J50,$G$14:$J$14,$K$13)</f>
        <v>0</v>
      </c>
      <c r="L50" s="17" t="str">
        <f>SUMIFS(G50:J50,$G$14:$J$14,$L$13)</f>
        <v>0</v>
      </c>
      <c r="M50" s="17"/>
      <c r="N50" s="17"/>
      <c r="O50" s="17" t="str">
        <f>L50*F50</f>
        <v>0</v>
      </c>
      <c r="P50" s="17" t="str">
        <f>N50+O50</f>
        <v>0</v>
      </c>
      <c r="Q50" s="21"/>
      <c r="R50" s="5"/>
      <c r="S50" s="22" t="str">
        <f>K50+L50</f>
        <v>0</v>
      </c>
      <c r="T50" s="1"/>
      <c r="U50" s="1"/>
      <c r="V50" s="1"/>
      <c r="W50" s="1"/>
      <c r="X50" s="1"/>
      <c r="Y50" s="1"/>
      <c r="Z50" s="1"/>
    </row>
    <row r="51" spans="1:26" customHeight="1" ht="12">
      <c r="A51" s="1"/>
      <c r="B51" s="19"/>
      <c r="C51" s="21" t="s">
        <v>70</v>
      </c>
      <c r="D51" s="19" t="s">
        <v>55</v>
      </c>
      <c r="E51" s="16">
        <v>0</v>
      </c>
      <c r="F51" s="16">
        <v>320000</v>
      </c>
      <c r="G51" s="17">
        <v>0</v>
      </c>
      <c r="H51" s="17">
        <v>1</v>
      </c>
      <c r="I51" s="17">
        <v>0</v>
      </c>
      <c r="J51" s="17">
        <v>0</v>
      </c>
      <c r="K51" s="17" t="str">
        <f>SUMIFS(G51:J51,$G$14:$J$14,$K$13)</f>
        <v>0</v>
      </c>
      <c r="L51" s="17" t="str">
        <f>SUMIFS(G51:J51,$G$14:$J$14,$L$13)</f>
        <v>0</v>
      </c>
      <c r="M51" s="17"/>
      <c r="N51" s="17"/>
      <c r="O51" s="17" t="str">
        <f>L51*F51</f>
        <v>0</v>
      </c>
      <c r="P51" s="17" t="str">
        <f>N51+O51</f>
        <v>0</v>
      </c>
      <c r="Q51" s="21"/>
      <c r="R51" s="5"/>
      <c r="S51" s="22" t="str">
        <f>K51+L51</f>
        <v>0</v>
      </c>
      <c r="T51" s="1"/>
      <c r="U51" s="1"/>
      <c r="V51" s="1"/>
      <c r="W51" s="1"/>
      <c r="X51" s="1"/>
      <c r="Y51" s="1"/>
      <c r="Z51" s="1"/>
    </row>
    <row r="52" spans="1:26" customHeight="1" ht="12">
      <c r="A52" s="1"/>
      <c r="B52" s="19"/>
      <c r="C52" s="21" t="s">
        <v>71</v>
      </c>
      <c r="D52" s="19" t="s">
        <v>55</v>
      </c>
      <c r="E52" s="16">
        <v>0</v>
      </c>
      <c r="F52" s="16">
        <v>0</v>
      </c>
      <c r="G52" s="17">
        <v>0</v>
      </c>
      <c r="H52" s="17">
        <v>0</v>
      </c>
      <c r="I52" s="17">
        <v>0</v>
      </c>
      <c r="J52" s="17">
        <v>0</v>
      </c>
      <c r="K52" s="17" t="str">
        <f>SUMIFS(G52:J52,$G$14:$J$14,$K$13)</f>
        <v>0</v>
      </c>
      <c r="L52" s="17" t="str">
        <f>SUMIFS(G52:J52,$G$14:$J$14,$L$13)</f>
        <v>0</v>
      </c>
      <c r="M52" s="17"/>
      <c r="N52" s="17"/>
      <c r="O52" s="17" t="str">
        <f>L52*F52</f>
        <v>0</v>
      </c>
      <c r="P52" s="17" t="str">
        <f>N52+O52</f>
        <v>0</v>
      </c>
      <c r="Q52" s="21" t="s">
        <v>40</v>
      </c>
      <c r="R52" s="5"/>
      <c r="S52" s="22" t="str">
        <f>K52+L52</f>
        <v>0</v>
      </c>
      <c r="T52" s="1"/>
      <c r="U52" s="1"/>
      <c r="V52" s="1"/>
      <c r="W52" s="1"/>
      <c r="X52" s="1"/>
      <c r="Y52" s="1"/>
      <c r="Z52" s="1"/>
    </row>
    <row r="53" spans="1:26" customHeight="1" ht="12">
      <c r="A53" s="1"/>
      <c r="B53" s="19"/>
      <c r="C53" s="21" t="s">
        <v>72</v>
      </c>
      <c r="D53" s="19" t="s">
        <v>55</v>
      </c>
      <c r="E53" s="16">
        <v>0</v>
      </c>
      <c r="F53" s="16">
        <v>320000</v>
      </c>
      <c r="G53" s="17">
        <v>0</v>
      </c>
      <c r="H53" s="17">
        <v>0</v>
      </c>
      <c r="I53" s="17">
        <v>0</v>
      </c>
      <c r="J53" s="17">
        <v>0</v>
      </c>
      <c r="K53" s="17" t="str">
        <f>SUMIFS(G53:J53,$G$14:$J$14,$K$13)</f>
        <v>0</v>
      </c>
      <c r="L53" s="17" t="str">
        <f>SUMIFS(G53:J53,$G$14:$J$14,$L$13)</f>
        <v>0</v>
      </c>
      <c r="M53" s="17"/>
      <c r="N53" s="17"/>
      <c r="O53" s="17" t="str">
        <f>L53*F53</f>
        <v>0</v>
      </c>
      <c r="P53" s="17" t="str">
        <f>N53+O53</f>
        <v>0</v>
      </c>
      <c r="Q53" s="21"/>
      <c r="R53" s="5"/>
      <c r="S53" s="22" t="str">
        <f>K53+L53</f>
        <v>0</v>
      </c>
      <c r="T53" s="1"/>
      <c r="U53" s="1"/>
      <c r="V53" s="1"/>
      <c r="W53" s="1"/>
      <c r="X53" s="1"/>
      <c r="Y53" s="1"/>
      <c r="Z53" s="1"/>
    </row>
    <row r="54" spans="1:26" customHeight="1" ht="12">
      <c r="A54" s="1"/>
      <c r="B54" s="19"/>
      <c r="C54" s="21" t="s">
        <v>73</v>
      </c>
      <c r="D54" s="19" t="s">
        <v>55</v>
      </c>
      <c r="E54" s="16">
        <v>0</v>
      </c>
      <c r="F54" s="16">
        <v>0</v>
      </c>
      <c r="G54" s="17">
        <v>0</v>
      </c>
      <c r="H54" s="17">
        <v>0</v>
      </c>
      <c r="I54" s="17">
        <v>0</v>
      </c>
      <c r="J54" s="17">
        <v>0</v>
      </c>
      <c r="K54" s="17" t="str">
        <f>SUMIFS(G54:J54,$G$14:$J$14,$K$13)</f>
        <v>0</v>
      </c>
      <c r="L54" s="17" t="str">
        <f>SUMIFS(G54:J54,$G$14:$J$14,$L$13)</f>
        <v>0</v>
      </c>
      <c r="M54" s="17"/>
      <c r="N54" s="17"/>
      <c r="O54" s="17" t="str">
        <f>L54*F54</f>
        <v>0</v>
      </c>
      <c r="P54" s="17" t="str">
        <f>N54+O54</f>
        <v>0</v>
      </c>
      <c r="Q54" s="21"/>
      <c r="R54" s="5"/>
      <c r="S54" s="22" t="str">
        <f>K54+L54</f>
        <v>0</v>
      </c>
      <c r="T54" s="1"/>
      <c r="U54" s="1"/>
      <c r="V54" s="1"/>
      <c r="W54" s="1"/>
      <c r="X54" s="1"/>
      <c r="Y54" s="1"/>
      <c r="Z54" s="1"/>
    </row>
    <row r="55" spans="1:26" customHeight="1" ht="12">
      <c r="A55" s="1"/>
      <c r="B55" s="19"/>
      <c r="C55" s="21" t="s">
        <v>74</v>
      </c>
      <c r="D55" s="19" t="s">
        <v>55</v>
      </c>
      <c r="E55" s="16">
        <v>0</v>
      </c>
      <c r="F55" s="16">
        <v>320000</v>
      </c>
      <c r="G55" s="17">
        <v>0</v>
      </c>
      <c r="H55" s="17">
        <v>0</v>
      </c>
      <c r="I55" s="17">
        <v>0</v>
      </c>
      <c r="J55" s="17">
        <v>0</v>
      </c>
      <c r="K55" s="17" t="str">
        <f>SUMIFS(G55:J55,$G$14:$J$14,$K$13)</f>
        <v>0</v>
      </c>
      <c r="L55" s="17" t="str">
        <f>SUMIFS(G55:J55,$G$14:$J$14,$L$13)</f>
        <v>0</v>
      </c>
      <c r="M55" s="17"/>
      <c r="N55" s="17"/>
      <c r="O55" s="17" t="str">
        <f>L55*F55</f>
        <v>0</v>
      </c>
      <c r="P55" s="17" t="str">
        <f>N55+O55</f>
        <v>0</v>
      </c>
      <c r="Q55" s="21"/>
      <c r="R55" s="5"/>
      <c r="S55" s="22" t="str">
        <f>K55+L55</f>
        <v>0</v>
      </c>
      <c r="T55" s="1"/>
      <c r="U55" s="1"/>
      <c r="V55" s="1"/>
      <c r="W55" s="1"/>
      <c r="X55" s="1"/>
      <c r="Y55" s="1"/>
      <c r="Z55" s="1"/>
    </row>
    <row r="56" spans="1:26" customHeight="1" ht="12">
      <c r="A56" s="1"/>
      <c r="B56" s="19"/>
      <c r="C56" s="21" t="s">
        <v>75</v>
      </c>
      <c r="D56" s="19" t="s">
        <v>55</v>
      </c>
      <c r="E56" s="16">
        <v>0</v>
      </c>
      <c r="F56" s="16">
        <v>0</v>
      </c>
      <c r="G56" s="17">
        <v>0</v>
      </c>
      <c r="H56" s="17">
        <v>0</v>
      </c>
      <c r="I56" s="17">
        <v>0</v>
      </c>
      <c r="J56" s="17">
        <v>0</v>
      </c>
      <c r="K56" s="17" t="str">
        <f>SUMIFS(G56:J56,$G$14:$J$14,$K$13)</f>
        <v>0</v>
      </c>
      <c r="L56" s="17" t="str">
        <f>SUMIFS(G56:J56,$G$14:$J$14,$L$13)</f>
        <v>0</v>
      </c>
      <c r="M56" s="17"/>
      <c r="N56" s="17"/>
      <c r="O56" s="17" t="str">
        <f>L56*F56</f>
        <v>0</v>
      </c>
      <c r="P56" s="17" t="str">
        <f>N56+O56</f>
        <v>0</v>
      </c>
      <c r="Q56" s="21"/>
      <c r="R56" s="5"/>
      <c r="S56" s="22" t="str">
        <f>K56+L56</f>
        <v>0</v>
      </c>
      <c r="T56" s="1"/>
      <c r="U56" s="1"/>
      <c r="V56" s="1"/>
      <c r="W56" s="1"/>
      <c r="X56" s="1"/>
      <c r="Y56" s="1"/>
      <c r="Z56" s="1"/>
    </row>
    <row r="57" spans="1:26" customHeight="1" ht="12">
      <c r="A57" s="1"/>
      <c r="B57" s="19"/>
      <c r="C57" s="21" t="s">
        <v>76</v>
      </c>
      <c r="D57" s="19" t="s">
        <v>55</v>
      </c>
      <c r="E57" s="16">
        <v>0</v>
      </c>
      <c r="F57" s="16">
        <v>2600000</v>
      </c>
      <c r="G57" s="17">
        <v>0</v>
      </c>
      <c r="H57" s="17">
        <v>0</v>
      </c>
      <c r="I57" s="17">
        <v>0</v>
      </c>
      <c r="J57" s="17">
        <v>0</v>
      </c>
      <c r="K57" s="17" t="str">
        <f>SUMIFS(G57:J57,$G$14:$J$14,$K$13)</f>
        <v>0</v>
      </c>
      <c r="L57" s="17" t="str">
        <f>SUMIFS(G57:J57,$G$14:$J$14,$L$13)</f>
        <v>0</v>
      </c>
      <c r="M57" s="17"/>
      <c r="N57" s="17"/>
      <c r="O57" s="17" t="str">
        <f>L57*F57</f>
        <v>0</v>
      </c>
      <c r="P57" s="17" t="str">
        <f>N57+O57</f>
        <v>0</v>
      </c>
      <c r="Q57" s="21"/>
      <c r="R57" s="5"/>
      <c r="S57" s="22" t="str">
        <f>K57+L57</f>
        <v>0</v>
      </c>
      <c r="T57" s="1"/>
      <c r="U57" s="1"/>
      <c r="V57" s="1"/>
      <c r="W57" s="1"/>
      <c r="X57" s="1"/>
      <c r="Y57" s="1"/>
      <c r="Z57" s="1"/>
    </row>
    <row r="58" spans="1:26" customHeight="1" ht="12">
      <c r="A58" s="1"/>
      <c r="B58" s="19"/>
      <c r="C58" s="21" t="s">
        <v>77</v>
      </c>
      <c r="D58" s="19" t="s">
        <v>55</v>
      </c>
      <c r="E58" s="16">
        <v>0</v>
      </c>
      <c r="F58" s="16">
        <v>0</v>
      </c>
      <c r="G58" s="17">
        <v>0</v>
      </c>
      <c r="H58" s="17">
        <v>0</v>
      </c>
      <c r="I58" s="17">
        <v>0</v>
      </c>
      <c r="J58" s="17">
        <v>0</v>
      </c>
      <c r="K58" s="17" t="str">
        <f>SUMIFS(G58:J58,$G$14:$J$14,$K$13)</f>
        <v>0</v>
      </c>
      <c r="L58" s="17" t="str">
        <f>SUMIFS(G58:J58,$G$14:$J$14,$L$13)</f>
        <v>0</v>
      </c>
      <c r="M58" s="17"/>
      <c r="N58" s="17"/>
      <c r="O58" s="17" t="str">
        <f>L58*F58</f>
        <v>0</v>
      </c>
      <c r="P58" s="17" t="str">
        <f>N58+O58</f>
        <v>0</v>
      </c>
      <c r="Q58" s="21"/>
      <c r="R58" s="5"/>
      <c r="S58" s="22" t="str">
        <f>K58+L58</f>
        <v>0</v>
      </c>
      <c r="T58" s="1"/>
      <c r="U58" s="1"/>
      <c r="V58" s="1"/>
      <c r="W58" s="1"/>
      <c r="X58" s="1"/>
      <c r="Y58" s="1"/>
      <c r="Z58" s="1"/>
    </row>
    <row r="59" spans="1:26" customHeight="1" ht="12">
      <c r="A59" s="1"/>
      <c r="B59" s="19"/>
      <c r="C59" s="21" t="s">
        <v>78</v>
      </c>
      <c r="D59" s="19" t="s">
        <v>55</v>
      </c>
      <c r="E59" s="16">
        <v>0</v>
      </c>
      <c r="F59" s="16">
        <v>3100000</v>
      </c>
      <c r="G59" s="17">
        <v>0</v>
      </c>
      <c r="H59" s="17">
        <v>0</v>
      </c>
      <c r="I59" s="17">
        <v>0</v>
      </c>
      <c r="J59" s="17">
        <v>0</v>
      </c>
      <c r="K59" s="17" t="str">
        <f>SUMIFS(G59:J59,$G$14:$J$14,$K$13)</f>
        <v>0</v>
      </c>
      <c r="L59" s="17" t="str">
        <f>SUMIFS(G59:J59,$G$14:$J$14,$L$13)</f>
        <v>0</v>
      </c>
      <c r="M59" s="17"/>
      <c r="N59" s="17"/>
      <c r="O59" s="17" t="str">
        <f>L59*F59</f>
        <v>0</v>
      </c>
      <c r="P59" s="17" t="str">
        <f>N59+O59</f>
        <v>0</v>
      </c>
      <c r="Q59" s="21"/>
      <c r="R59" s="5"/>
      <c r="S59" s="22" t="str">
        <f>K59+L59</f>
        <v>0</v>
      </c>
      <c r="T59" s="1"/>
      <c r="U59" s="1"/>
      <c r="V59" s="1"/>
      <c r="W59" s="1"/>
      <c r="X59" s="1"/>
      <c r="Y59" s="1"/>
      <c r="Z59" s="1"/>
    </row>
    <row r="60" spans="1:26" customHeight="1" ht="12">
      <c r="A60" s="1"/>
      <c r="B60" s="19"/>
      <c r="C60" s="21" t="s">
        <v>79</v>
      </c>
      <c r="D60" s="19" t="s">
        <v>55</v>
      </c>
      <c r="E60" s="16">
        <v>0</v>
      </c>
      <c r="F60" s="16">
        <v>0</v>
      </c>
      <c r="G60" s="17">
        <v>0</v>
      </c>
      <c r="H60" s="17">
        <v>0</v>
      </c>
      <c r="I60" s="17">
        <v>0</v>
      </c>
      <c r="J60" s="17">
        <v>0</v>
      </c>
      <c r="K60" s="17" t="str">
        <f>SUMIFS(G60:J60,$G$14:$J$14,$K$13)</f>
        <v>0</v>
      </c>
      <c r="L60" s="17" t="str">
        <f>SUMIFS(G60:J60,$G$14:$J$14,$L$13)</f>
        <v>0</v>
      </c>
      <c r="M60" s="17"/>
      <c r="N60" s="17"/>
      <c r="O60" s="17" t="str">
        <f>L60*F60</f>
        <v>0</v>
      </c>
      <c r="P60" s="17" t="str">
        <f>N60+O60</f>
        <v>0</v>
      </c>
      <c r="Q60" s="21"/>
      <c r="R60" s="5"/>
      <c r="S60" s="22" t="str">
        <f>K60+L60</f>
        <v>0</v>
      </c>
      <c r="T60" s="1"/>
      <c r="U60" s="1"/>
      <c r="V60" s="1"/>
      <c r="W60" s="1"/>
      <c r="X60" s="1"/>
      <c r="Y60" s="1"/>
      <c r="Z60" s="1"/>
    </row>
    <row r="61" spans="1:26" customHeight="1" ht="12">
      <c r="A61" s="1"/>
      <c r="B61" s="19"/>
      <c r="C61" s="32" t="s">
        <v>80</v>
      </c>
      <c r="D61" s="19" t="s">
        <v>55</v>
      </c>
      <c r="E61" s="16">
        <v>0</v>
      </c>
      <c r="F61" s="16">
        <v>4000000</v>
      </c>
      <c r="G61" s="17">
        <v>0</v>
      </c>
      <c r="H61" s="17">
        <v>0</v>
      </c>
      <c r="I61" s="17">
        <v>0</v>
      </c>
      <c r="J61" s="17">
        <v>0</v>
      </c>
      <c r="K61" s="17" t="str">
        <f>SUMIFS(G61:J61,$G$14:$J$14,$K$13)</f>
        <v>0</v>
      </c>
      <c r="L61" s="17" t="str">
        <f>SUMIFS(G61:J61,$G$14:$J$14,$L$13)</f>
        <v>0</v>
      </c>
      <c r="M61" s="17"/>
      <c r="N61" s="17"/>
      <c r="O61" s="17" t="str">
        <f>L61*F61</f>
        <v>0</v>
      </c>
      <c r="P61" s="17" t="str">
        <f>N61+O61</f>
        <v>0</v>
      </c>
      <c r="Q61" s="21"/>
      <c r="R61" s="5"/>
      <c r="S61" s="22" t="str">
        <f>K61+L61</f>
        <v>0</v>
      </c>
      <c r="T61" s="1"/>
      <c r="U61" s="1"/>
      <c r="V61" s="1"/>
      <c r="W61" s="1"/>
      <c r="X61" s="1"/>
      <c r="Y61" s="1"/>
      <c r="Z61" s="1"/>
    </row>
    <row r="62" spans="1:26" customHeight="1" ht="12">
      <c r="A62" s="1"/>
      <c r="B62" s="19"/>
      <c r="C62" s="21" t="s">
        <v>81</v>
      </c>
      <c r="D62" s="15" t="s">
        <v>82</v>
      </c>
      <c r="E62" s="16">
        <v>0</v>
      </c>
      <c r="F62" s="16">
        <v>0</v>
      </c>
      <c r="G62" s="33">
        <v>0</v>
      </c>
      <c r="H62" s="33">
        <v>0</v>
      </c>
      <c r="I62" s="33">
        <v>0</v>
      </c>
      <c r="J62" s="33">
        <v>0</v>
      </c>
      <c r="K62" s="33" t="str">
        <f>SUMIFS(G62:J62,$G$14:$J$14,$K$13)</f>
        <v>0</v>
      </c>
      <c r="L62" s="33" t="str">
        <f>SUMIFS(G62:J62,$G$14:$J$14,$L$13)</f>
        <v>0</v>
      </c>
      <c r="M62" s="33"/>
      <c r="N62" s="33"/>
      <c r="O62" s="17" t="str">
        <f>L62*F62</f>
        <v>0</v>
      </c>
      <c r="P62" s="17" t="str">
        <f>N62+O62</f>
        <v>0</v>
      </c>
      <c r="Q62" s="21"/>
      <c r="R62" s="5"/>
      <c r="S62" s="22" t="str">
        <f>K62+L62</f>
        <v>0</v>
      </c>
      <c r="T62" s="1"/>
      <c r="U62" s="1"/>
      <c r="V62" s="1"/>
      <c r="W62" s="1"/>
      <c r="X62" s="1"/>
      <c r="Y62" s="1"/>
      <c r="Z62" s="1"/>
    </row>
    <row r="63" spans="1:26" customHeight="1" ht="12">
      <c r="A63" s="1"/>
      <c r="B63" s="19"/>
      <c r="C63" s="21" t="s">
        <v>83</v>
      </c>
      <c r="D63" s="15" t="s">
        <v>82</v>
      </c>
      <c r="E63" s="16">
        <v>0</v>
      </c>
      <c r="F63" s="16">
        <v>0</v>
      </c>
      <c r="G63" s="33">
        <v>0</v>
      </c>
      <c r="H63" s="33">
        <v>0</v>
      </c>
      <c r="I63" s="33">
        <v>0</v>
      </c>
      <c r="J63" s="33">
        <v>0</v>
      </c>
      <c r="K63" s="33" t="str">
        <f>SUMIFS(G63:J63,$G$14:$J$14,$K$13)</f>
        <v>0</v>
      </c>
      <c r="L63" s="33" t="str">
        <f>SUMIFS(G63:J63,$G$14:$J$14,$L$13)</f>
        <v>0</v>
      </c>
      <c r="M63" s="33"/>
      <c r="N63" s="33"/>
      <c r="O63" s="17" t="str">
        <f>L63*F63</f>
        <v>0</v>
      </c>
      <c r="P63" s="17" t="str">
        <f>N63+O63</f>
        <v>0</v>
      </c>
      <c r="Q63" s="21"/>
      <c r="R63" s="5"/>
      <c r="S63" s="22" t="str">
        <f>K63+L63</f>
        <v>0</v>
      </c>
      <c r="T63" s="1"/>
      <c r="U63" s="1"/>
      <c r="V63" s="1"/>
      <c r="W63" s="1"/>
      <c r="X63" s="1"/>
      <c r="Y63" s="1"/>
      <c r="Z63" s="1"/>
    </row>
    <row r="64" spans="1:26" customHeight="1" ht="12">
      <c r="A64" s="1"/>
      <c r="B64" s="19" t="s">
        <v>84</v>
      </c>
      <c r="C64" s="21" t="s">
        <v>85</v>
      </c>
      <c r="D64" s="15"/>
      <c r="E64" s="16">
        <v>0</v>
      </c>
      <c r="F64" s="16">
        <v>0</v>
      </c>
      <c r="G64" s="17">
        <v>0</v>
      </c>
      <c r="H64" s="17">
        <v>0</v>
      </c>
      <c r="I64" s="17">
        <v>0</v>
      </c>
      <c r="J64" s="17">
        <v>0</v>
      </c>
      <c r="K64" s="17" t="str">
        <f>SUMIFS(G64:J64,$G$14:$J$14,$K$13)</f>
        <v>0</v>
      </c>
      <c r="L64" s="17" t="str">
        <f>SUMIFS(G64:J64,$G$14:$J$14,$L$13)</f>
        <v>0</v>
      </c>
      <c r="M64" s="17"/>
      <c r="N64" s="17"/>
      <c r="O64" s="17" t="str">
        <f>L64*F64</f>
        <v>0</v>
      </c>
      <c r="P64" s="17" t="str">
        <f>N64+O64</f>
        <v>0</v>
      </c>
      <c r="Q64" s="21"/>
      <c r="R64" s="5"/>
      <c r="S64" s="22" t="str">
        <f>K64+L64</f>
        <v>0</v>
      </c>
      <c r="T64" s="1"/>
      <c r="U64" s="1"/>
      <c r="V64" s="1"/>
      <c r="W64" s="1"/>
      <c r="X64" s="1"/>
      <c r="Y64" s="1"/>
      <c r="Z64" s="1"/>
    </row>
    <row r="65" spans="1:26" customHeight="1" ht="12">
      <c r="A65" s="1"/>
      <c r="B65" s="19"/>
      <c r="C65" s="34" t="s">
        <v>86</v>
      </c>
      <c r="D65" s="15" t="s">
        <v>82</v>
      </c>
      <c r="E65" s="16">
        <v>25000</v>
      </c>
      <c r="F65" s="16">
        <v>0</v>
      </c>
      <c r="G65" s="17">
        <v>0</v>
      </c>
      <c r="H65" s="17">
        <v>0</v>
      </c>
      <c r="I65" s="17">
        <v>0</v>
      </c>
      <c r="J65" s="17">
        <v>0</v>
      </c>
      <c r="K65" s="17" t="str">
        <f>SUMIFS(G65:J65,$G$14:$J$14,$K$13)</f>
        <v>0</v>
      </c>
      <c r="L65" s="17" t="str">
        <f>SUMIFS(G65:J65,$G$14:$J$14,$L$13)</f>
        <v>0</v>
      </c>
      <c r="M65" s="17"/>
      <c r="N65" s="17"/>
      <c r="O65" s="17" t="str">
        <f>L65*F65</f>
        <v>0</v>
      </c>
      <c r="P65" s="17" t="str">
        <f>N65+O65</f>
        <v>0</v>
      </c>
      <c r="Q65" s="21"/>
      <c r="R65" s="5"/>
      <c r="S65" s="22" t="str">
        <f>K65+L65</f>
        <v>0</v>
      </c>
      <c r="T65" s="1"/>
      <c r="U65" s="1"/>
      <c r="V65" s="1"/>
      <c r="W65" s="1"/>
      <c r="X65" s="1"/>
      <c r="Y65" s="1"/>
      <c r="Z65" s="1"/>
    </row>
    <row r="66" spans="1:26" customHeight="1" ht="12">
      <c r="A66" s="1"/>
      <c r="B66" s="19"/>
      <c r="C66" s="34" t="s">
        <v>87</v>
      </c>
      <c r="D66" s="15" t="s">
        <v>82</v>
      </c>
      <c r="E66" s="16">
        <v>25000</v>
      </c>
      <c r="F66" s="16">
        <v>0</v>
      </c>
      <c r="G66" s="17">
        <v>0</v>
      </c>
      <c r="H66" s="17">
        <v>0</v>
      </c>
      <c r="I66" s="17">
        <v>0</v>
      </c>
      <c r="J66" s="17">
        <v>0</v>
      </c>
      <c r="K66" s="17" t="str">
        <f>SUMIFS(G66:J66,$G$14:$J$14,$K$13)</f>
        <v>0</v>
      </c>
      <c r="L66" s="17" t="str">
        <f>SUMIFS(G66:J66,$G$14:$J$14,$L$13)</f>
        <v>0</v>
      </c>
      <c r="M66" s="17" t="str">
        <f>K66*E66</f>
        <v>0</v>
      </c>
      <c r="N66" s="17"/>
      <c r="O66" s="17" t="str">
        <f>L66*F66</f>
        <v>0</v>
      </c>
      <c r="P66" s="17" t="str">
        <f>N66+O66</f>
        <v>0</v>
      </c>
      <c r="Q66" s="21"/>
      <c r="R66" s="5"/>
      <c r="S66" s="22" t="str">
        <f>K66+L66</f>
        <v>0</v>
      </c>
      <c r="T66" s="1"/>
      <c r="U66" s="1"/>
      <c r="V66" s="1"/>
      <c r="W66" s="1"/>
      <c r="X66" s="1"/>
      <c r="Y66" s="1"/>
      <c r="Z66" s="1"/>
    </row>
    <row r="67" spans="1:26" customHeight="1" ht="12">
      <c r="A67" s="1"/>
      <c r="B67" s="19" t="s">
        <v>88</v>
      </c>
      <c r="C67" s="21" t="s">
        <v>89</v>
      </c>
      <c r="D67" s="15"/>
      <c r="E67" s="16">
        <v>0</v>
      </c>
      <c r="F67" s="16">
        <v>0</v>
      </c>
      <c r="G67" s="17">
        <v>0</v>
      </c>
      <c r="H67" s="17">
        <v>0</v>
      </c>
      <c r="I67" s="17">
        <v>0</v>
      </c>
      <c r="J67" s="17">
        <v>0</v>
      </c>
      <c r="K67" s="17" t="str">
        <f>SUMIFS(G67:J67,$G$14:$J$14,$K$13)</f>
        <v>0</v>
      </c>
      <c r="L67" s="17" t="str">
        <f>SUMIFS(G67:J67,$G$14:$J$14,$L$13)</f>
        <v>0</v>
      </c>
      <c r="M67" s="17"/>
      <c r="N67" s="17"/>
      <c r="O67" s="17" t="str">
        <f>L67*F67</f>
        <v>0</v>
      </c>
      <c r="P67" s="17" t="str">
        <f>N67+O67</f>
        <v>0</v>
      </c>
      <c r="Q67" s="21"/>
      <c r="R67" s="5"/>
      <c r="S67" s="22" t="str">
        <f>K67+L67</f>
        <v>0</v>
      </c>
      <c r="T67" s="1"/>
      <c r="U67" s="1"/>
      <c r="V67" s="1"/>
      <c r="W67" s="1"/>
      <c r="X67" s="1"/>
      <c r="Y67" s="1"/>
      <c r="Z67" s="1"/>
    </row>
    <row r="68" spans="1:26" customHeight="1" ht="12">
      <c r="A68" s="1"/>
      <c r="B68" s="19"/>
      <c r="C68" s="34" t="s">
        <v>90</v>
      </c>
      <c r="D68" s="15" t="s">
        <v>82</v>
      </c>
      <c r="E68" s="16">
        <v>25000</v>
      </c>
      <c r="F68" s="16">
        <v>0</v>
      </c>
      <c r="G68" s="17">
        <v>0</v>
      </c>
      <c r="H68" s="17">
        <v>0</v>
      </c>
      <c r="I68" s="17">
        <v>0</v>
      </c>
      <c r="J68" s="17">
        <v>0</v>
      </c>
      <c r="K68" s="17" t="str">
        <f>SUMIFS(G68:J68,$G$14:$J$14,$K$13)</f>
        <v>0</v>
      </c>
      <c r="L68" s="17" t="str">
        <f>SUMIFS(G68:J68,$G$14:$J$14,$L$13)</f>
        <v>0</v>
      </c>
      <c r="M68" s="17"/>
      <c r="N68" s="17"/>
      <c r="O68" s="17" t="str">
        <f>L68*F68</f>
        <v>0</v>
      </c>
      <c r="P68" s="17" t="str">
        <f>N68+O68</f>
        <v>0</v>
      </c>
      <c r="Q68" s="21"/>
      <c r="R68" s="5"/>
      <c r="S68" s="22" t="str">
        <f>K68+L68</f>
        <v>0</v>
      </c>
      <c r="T68" s="1"/>
      <c r="U68" s="1"/>
      <c r="V68" s="1"/>
      <c r="W68" s="1"/>
      <c r="X68" s="1"/>
      <c r="Y68" s="1"/>
      <c r="Z68" s="1"/>
    </row>
    <row r="69" spans="1:26" customHeight="1" ht="12">
      <c r="A69" s="1"/>
      <c r="B69" s="19"/>
      <c r="C69" s="34" t="s">
        <v>91</v>
      </c>
      <c r="D69" s="15" t="s">
        <v>82</v>
      </c>
      <c r="E69" s="16">
        <v>25000</v>
      </c>
      <c r="F69" s="16">
        <v>0</v>
      </c>
      <c r="G69" s="17">
        <v>0</v>
      </c>
      <c r="H69" s="17">
        <v>0</v>
      </c>
      <c r="I69" s="17">
        <v>0</v>
      </c>
      <c r="J69" s="17">
        <v>0</v>
      </c>
      <c r="K69" s="17" t="str">
        <f>SUMIFS(G69:J69,$G$14:$J$14,$K$13)</f>
        <v>0</v>
      </c>
      <c r="L69" s="17" t="str">
        <f>SUMIFS(G69:J69,$G$14:$J$14,$L$13)</f>
        <v>0</v>
      </c>
      <c r="M69" s="17" t="str">
        <f>K69*E69</f>
        <v>0</v>
      </c>
      <c r="N69" s="17"/>
      <c r="O69" s="17" t="str">
        <f>L69*F69</f>
        <v>0</v>
      </c>
      <c r="P69" s="17" t="str">
        <f>N69+O69</f>
        <v>0</v>
      </c>
      <c r="Q69" s="21"/>
      <c r="R69" s="5"/>
      <c r="S69" s="22" t="str">
        <f>K69+L69</f>
        <v>0</v>
      </c>
      <c r="T69" s="1"/>
      <c r="U69" s="1"/>
      <c r="V69" s="1"/>
      <c r="W69" s="1"/>
      <c r="X69" s="1"/>
      <c r="Y69" s="1"/>
      <c r="Z69" s="1"/>
    </row>
    <row r="70" spans="1:26" customHeight="1" ht="12">
      <c r="A70" s="1"/>
      <c r="B70" s="19" t="s">
        <v>92</v>
      </c>
      <c r="C70" s="21" t="s">
        <v>93</v>
      </c>
      <c r="D70" s="15"/>
      <c r="E70" s="16">
        <v>0</v>
      </c>
      <c r="F70" s="16">
        <v>0</v>
      </c>
      <c r="G70" s="17">
        <v>0</v>
      </c>
      <c r="H70" s="17">
        <v>0</v>
      </c>
      <c r="I70" s="17">
        <v>0</v>
      </c>
      <c r="J70" s="17">
        <v>0</v>
      </c>
      <c r="K70" s="17" t="str">
        <f>SUMIFS(G70:J70,$G$14:$J$14,$K$13)</f>
        <v>0</v>
      </c>
      <c r="L70" s="17" t="str">
        <f>SUMIFS(G70:J70,$G$14:$J$14,$L$13)</f>
        <v>0</v>
      </c>
      <c r="M70" s="17"/>
      <c r="N70" s="17"/>
      <c r="O70" s="17" t="str">
        <f>L70*F70</f>
        <v>0</v>
      </c>
      <c r="P70" s="17" t="str">
        <f>N70+O70</f>
        <v>0</v>
      </c>
      <c r="Q70" s="21"/>
      <c r="R70" s="5"/>
      <c r="S70" s="22" t="str">
        <f>K70+L70</f>
        <v>0</v>
      </c>
      <c r="T70" s="1"/>
      <c r="U70" s="1"/>
      <c r="V70" s="1"/>
      <c r="W70" s="1"/>
      <c r="X70" s="1"/>
      <c r="Y70" s="1"/>
      <c r="Z70" s="1"/>
    </row>
    <row r="71" spans="1:26" customHeight="1" ht="12">
      <c r="A71" s="1"/>
      <c r="B71" s="19"/>
      <c r="C71" s="21" t="s">
        <v>94</v>
      </c>
      <c r="D71" s="15" t="s">
        <v>82</v>
      </c>
      <c r="E71" s="16">
        <v>0</v>
      </c>
      <c r="F71" s="16">
        <v>0</v>
      </c>
      <c r="G71" s="17">
        <v>10</v>
      </c>
      <c r="H71" s="17">
        <v>0</v>
      </c>
      <c r="I71" s="17">
        <v>0</v>
      </c>
      <c r="J71" s="17">
        <v>0</v>
      </c>
      <c r="K71" s="17" t="str">
        <f>SUMIFS(G71:J71,$G$14:$J$14,$K$13)</f>
        <v>0</v>
      </c>
      <c r="L71" s="17" t="str">
        <f>SUMIFS(G71:J71,$G$14:$J$14,$L$13)</f>
        <v>0</v>
      </c>
      <c r="M71" s="17" t="str">
        <f>K71*E71</f>
        <v>0</v>
      </c>
      <c r="N71" s="17"/>
      <c r="O71" s="17" t="str">
        <f>L71*F71</f>
        <v>0</v>
      </c>
      <c r="P71" s="17" t="str">
        <f>N71+O71</f>
        <v>0</v>
      </c>
      <c r="Q71" s="21" t="s">
        <v>40</v>
      </c>
      <c r="R71" s="5"/>
      <c r="S71" s="22" t="str">
        <f>K71+L71</f>
        <v>0</v>
      </c>
      <c r="T71" s="1"/>
      <c r="U71" s="1"/>
      <c r="V71" s="1"/>
      <c r="W71" s="1"/>
      <c r="X71" s="1"/>
      <c r="Y71" s="1"/>
      <c r="Z71" s="1"/>
    </row>
    <row r="72" spans="1:26" customHeight="1" ht="12">
      <c r="A72" s="1"/>
      <c r="B72" s="19"/>
      <c r="C72" s="21" t="s">
        <v>95</v>
      </c>
      <c r="D72" s="15" t="s">
        <v>82</v>
      </c>
      <c r="E72" s="16">
        <v>0</v>
      </c>
      <c r="F72" s="16">
        <v>150000</v>
      </c>
      <c r="G72" s="17">
        <v>0</v>
      </c>
      <c r="H72" s="17">
        <v>10</v>
      </c>
      <c r="I72" s="17">
        <v>0</v>
      </c>
      <c r="J72" s="17">
        <v>0</v>
      </c>
      <c r="K72" s="17" t="str">
        <f>SUMIFS(G72:J72,$G$14:$J$14,$K$13)</f>
        <v>0</v>
      </c>
      <c r="L72" s="17" t="str">
        <f>SUMIFS(G72:J72,$G$14:$J$14,$L$13)</f>
        <v>0</v>
      </c>
      <c r="M72" s="17" t="str">
        <f>K72*E72</f>
        <v>0</v>
      </c>
      <c r="N72" s="17"/>
      <c r="O72" s="17" t="str">
        <f>L72*F72</f>
        <v>0</v>
      </c>
      <c r="P72" s="17" t="str">
        <f>N72+O72</f>
        <v>0</v>
      </c>
      <c r="Q72" s="21"/>
      <c r="R72" s="5"/>
      <c r="S72" s="22" t="str">
        <f>K72+L72</f>
        <v>0</v>
      </c>
      <c r="T72" s="1"/>
      <c r="U72" s="1"/>
      <c r="V72" s="1"/>
      <c r="W72" s="1"/>
      <c r="X72" s="1"/>
      <c r="Y72" s="1"/>
      <c r="Z72" s="1"/>
    </row>
    <row r="73" spans="1:26" customHeight="1" ht="12">
      <c r="A73" s="1"/>
      <c r="B73" s="19"/>
      <c r="C73" s="21" t="s">
        <v>96</v>
      </c>
      <c r="D73" s="15" t="s">
        <v>82</v>
      </c>
      <c r="E73" s="16">
        <v>0</v>
      </c>
      <c r="F73" s="16">
        <v>0</v>
      </c>
      <c r="G73" s="17">
        <v>0</v>
      </c>
      <c r="H73" s="17">
        <v>0</v>
      </c>
      <c r="I73" s="17">
        <v>0</v>
      </c>
      <c r="J73" s="17">
        <v>0</v>
      </c>
      <c r="K73" s="17" t="str">
        <f>SUMIFS(G73:J73,$G$14:$J$14,$K$13)</f>
        <v>0</v>
      </c>
      <c r="L73" s="17" t="str">
        <f>SUMIFS(G73:J73,$G$14:$J$14,$L$13)</f>
        <v>0</v>
      </c>
      <c r="M73" s="17"/>
      <c r="N73" s="17"/>
      <c r="O73" s="17" t="str">
        <f>L73*F73</f>
        <v>0</v>
      </c>
      <c r="P73" s="17" t="str">
        <f>N73+O73</f>
        <v>0</v>
      </c>
      <c r="Q73" s="21"/>
      <c r="R73" s="5"/>
      <c r="S73" s="22" t="str">
        <f>K73+L73</f>
        <v>0</v>
      </c>
      <c r="T73" s="1"/>
      <c r="U73" s="1"/>
      <c r="V73" s="1"/>
      <c r="W73" s="1"/>
      <c r="X73" s="1"/>
      <c r="Y73" s="1"/>
      <c r="Z73" s="1"/>
    </row>
    <row r="74" spans="1:26" customHeight="1" ht="12">
      <c r="A74" s="1"/>
      <c r="B74" s="19"/>
      <c r="C74" s="21" t="s">
        <v>97</v>
      </c>
      <c r="D74" s="15" t="s">
        <v>82</v>
      </c>
      <c r="E74" s="16">
        <v>0</v>
      </c>
      <c r="F74" s="16">
        <v>175000</v>
      </c>
      <c r="G74" s="17">
        <v>0</v>
      </c>
      <c r="H74" s="17">
        <v>0</v>
      </c>
      <c r="I74" s="17">
        <v>0</v>
      </c>
      <c r="J74" s="17">
        <v>0</v>
      </c>
      <c r="K74" s="17" t="str">
        <f>SUMIFS(G74:J74,$G$14:$J$14,$K$13)</f>
        <v>0</v>
      </c>
      <c r="L74" s="17" t="str">
        <f>SUMIFS(G74:J74,$G$14:$J$14,$L$13)</f>
        <v>0</v>
      </c>
      <c r="M74" s="17"/>
      <c r="N74" s="17"/>
      <c r="O74" s="17" t="str">
        <f>L74*F74</f>
        <v>0</v>
      </c>
      <c r="P74" s="17" t="str">
        <f>N74+O74</f>
        <v>0</v>
      </c>
      <c r="Q74" s="21"/>
      <c r="R74" s="5"/>
      <c r="S74" s="22" t="str">
        <f>K74+L74</f>
        <v>0</v>
      </c>
      <c r="T74" s="1"/>
      <c r="U74" s="1"/>
      <c r="V74" s="1"/>
      <c r="W74" s="1"/>
      <c r="X74" s="1"/>
      <c r="Y74" s="1"/>
      <c r="Z74" s="1"/>
    </row>
    <row r="75" spans="1:26" customHeight="1" ht="12">
      <c r="A75" s="1"/>
      <c r="B75" s="19"/>
      <c r="C75" s="21" t="s">
        <v>98</v>
      </c>
      <c r="D75" s="15" t="s">
        <v>82</v>
      </c>
      <c r="E75" s="16">
        <v>0</v>
      </c>
      <c r="F75" s="16">
        <v>0</v>
      </c>
      <c r="G75" s="17">
        <v>0</v>
      </c>
      <c r="H75" s="17">
        <v>0</v>
      </c>
      <c r="I75" s="16">
        <v>0</v>
      </c>
      <c r="J75" s="16">
        <v>0</v>
      </c>
      <c r="K75" s="16" t="str">
        <f>SUMIFS(G75:J75,$G$14:$J$14,$K$13)</f>
        <v>0</v>
      </c>
      <c r="L75" s="16" t="str">
        <f>SUMIFS(G75:J75,$G$14:$J$14,$L$13)</f>
        <v>0</v>
      </c>
      <c r="M75" s="16"/>
      <c r="N75" s="16"/>
      <c r="O75" s="17" t="str">
        <f>L75*F75</f>
        <v>0</v>
      </c>
      <c r="P75" s="17" t="str">
        <f>N75+O75</f>
        <v>0</v>
      </c>
      <c r="Q75" s="21"/>
      <c r="R75" s="5"/>
      <c r="S75" s="22" t="str">
        <f>K75+L75</f>
        <v>0</v>
      </c>
      <c r="T75" s="1"/>
      <c r="U75" s="1"/>
      <c r="V75" s="1"/>
      <c r="W75" s="1"/>
      <c r="X75" s="1"/>
      <c r="Y75" s="1"/>
      <c r="Z75" s="1"/>
    </row>
    <row r="76" spans="1:26" customHeight="1" ht="12">
      <c r="A76" s="1"/>
      <c r="B76" s="19"/>
      <c r="C76" s="21" t="s">
        <v>99</v>
      </c>
      <c r="D76" s="15" t="s">
        <v>82</v>
      </c>
      <c r="E76" s="16">
        <v>0</v>
      </c>
      <c r="F76" s="16">
        <v>0</v>
      </c>
      <c r="G76" s="17">
        <v>0</v>
      </c>
      <c r="H76" s="17">
        <v>0</v>
      </c>
      <c r="I76" s="16">
        <v>0</v>
      </c>
      <c r="J76" s="16">
        <v>0</v>
      </c>
      <c r="K76" s="16" t="str">
        <f>SUMIFS(G76:J76,$G$14:$J$14,$K$13)</f>
        <v>0</v>
      </c>
      <c r="L76" s="16" t="str">
        <f>SUMIFS(G76:J76,$G$14:$J$14,$L$13)</f>
        <v>0</v>
      </c>
      <c r="M76" s="16"/>
      <c r="N76" s="16"/>
      <c r="O76" s="17" t="str">
        <f>L76*F76</f>
        <v>0</v>
      </c>
      <c r="P76" s="17" t="str">
        <f>N76+O76</f>
        <v>0</v>
      </c>
      <c r="Q76" s="21"/>
      <c r="R76" s="5"/>
      <c r="S76" s="22" t="str">
        <f>K76+L76</f>
        <v>0</v>
      </c>
      <c r="T76" s="1"/>
      <c r="U76" s="1"/>
      <c r="V76" s="1"/>
      <c r="W76" s="1"/>
      <c r="X76" s="1"/>
      <c r="Y76" s="1"/>
      <c r="Z76" s="1"/>
    </row>
    <row r="77" spans="1:26" customHeight="1" ht="12">
      <c r="A77" s="1"/>
      <c r="B77" s="19"/>
      <c r="C77" s="21" t="s">
        <v>100</v>
      </c>
      <c r="D77" s="15" t="s">
        <v>82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 t="str">
        <f>SUMIFS(G77:J77,$G$14:$J$14,$K$13)</f>
        <v>0</v>
      </c>
      <c r="L77" s="16" t="str">
        <f>SUMIFS(G77:J77,$G$14:$J$14,$L$13)</f>
        <v>0</v>
      </c>
      <c r="M77" s="16"/>
      <c r="N77" s="16"/>
      <c r="O77" s="17" t="str">
        <f>L77*F77</f>
        <v>0</v>
      </c>
      <c r="P77" s="17" t="str">
        <f>N77+O77</f>
        <v>0</v>
      </c>
      <c r="Q77" s="21"/>
      <c r="R77" s="5"/>
      <c r="S77" s="22" t="str">
        <f>K77+L77</f>
        <v>0</v>
      </c>
      <c r="T77" s="1"/>
      <c r="U77" s="1"/>
      <c r="V77" s="1"/>
      <c r="W77" s="1"/>
      <c r="X77" s="1"/>
      <c r="Y77" s="1"/>
      <c r="Z77" s="1"/>
    </row>
    <row r="78" spans="1:26" customHeight="1" ht="12">
      <c r="A78" s="1"/>
      <c r="B78" s="19"/>
      <c r="C78" s="21" t="s">
        <v>101</v>
      </c>
      <c r="D78" s="15" t="s">
        <v>82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tr">
        <f>SUMIFS(G78:J78,$G$14:$J$14,$K$13)</f>
        <v>0</v>
      </c>
      <c r="L78" s="16" t="str">
        <f>SUMIFS(G78:J78,$G$14:$J$14,$L$13)</f>
        <v>0</v>
      </c>
      <c r="M78" s="16"/>
      <c r="N78" s="16"/>
      <c r="O78" s="17" t="str">
        <f>L78*F78</f>
        <v>0</v>
      </c>
      <c r="P78" s="17" t="str">
        <f>N78+O78</f>
        <v>0</v>
      </c>
      <c r="Q78" s="21"/>
      <c r="R78" s="5"/>
      <c r="S78" s="22" t="str">
        <f>K78+L78</f>
        <v>0</v>
      </c>
      <c r="T78" s="1"/>
      <c r="U78" s="1"/>
      <c r="V78" s="1"/>
      <c r="W78" s="1"/>
      <c r="X78" s="1"/>
      <c r="Y78" s="1"/>
      <c r="Z78" s="1"/>
    </row>
    <row r="79" spans="1:26" customHeight="1" ht="12">
      <c r="A79" s="1"/>
      <c r="B79" s="19"/>
      <c r="C79" s="21" t="s">
        <v>102</v>
      </c>
      <c r="D79" s="15" t="s">
        <v>82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 t="str">
        <f>SUMIFS(G79:J79,$G$14:$J$14,$K$13)</f>
        <v>0</v>
      </c>
      <c r="L79" s="16" t="str">
        <f>SUMIFS(G79:J79,$G$14:$J$14,$L$13)</f>
        <v>0</v>
      </c>
      <c r="M79" s="16"/>
      <c r="N79" s="16"/>
      <c r="O79" s="17" t="str">
        <f>L79*F79</f>
        <v>0</v>
      </c>
      <c r="P79" s="17" t="str">
        <f>N79+O79</f>
        <v>0</v>
      </c>
      <c r="Q79" s="21"/>
      <c r="R79" s="5"/>
      <c r="S79" s="22" t="str">
        <f>K79+L79</f>
        <v>0</v>
      </c>
      <c r="T79" s="1"/>
      <c r="U79" s="1"/>
      <c r="V79" s="1"/>
      <c r="W79" s="1"/>
      <c r="X79" s="1"/>
      <c r="Y79" s="1"/>
      <c r="Z79" s="1"/>
    </row>
    <row r="80" spans="1:26" customHeight="1" ht="12">
      <c r="A80" s="1"/>
      <c r="B80" s="19"/>
      <c r="C80" s="21" t="s">
        <v>103</v>
      </c>
      <c r="D80" s="15" t="s">
        <v>82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 t="str">
        <f>SUMIFS(G80:J80,$G$14:$J$14,$K$13)</f>
        <v>0</v>
      </c>
      <c r="L80" s="16" t="str">
        <f>SUMIFS(G80:J80,$G$14:$J$14,$L$13)</f>
        <v>0</v>
      </c>
      <c r="M80" s="16"/>
      <c r="N80" s="16"/>
      <c r="O80" s="17" t="str">
        <f>L80*F80</f>
        <v>0</v>
      </c>
      <c r="P80" s="17" t="str">
        <f>N80+O80</f>
        <v>0</v>
      </c>
      <c r="Q80" s="21"/>
      <c r="R80" s="5"/>
      <c r="S80" s="22" t="str">
        <f>K80+L80</f>
        <v>0</v>
      </c>
      <c r="T80" s="1"/>
      <c r="U80" s="1"/>
      <c r="V80" s="1"/>
      <c r="W80" s="1"/>
      <c r="X80" s="1"/>
      <c r="Y80" s="1"/>
      <c r="Z80" s="1"/>
    </row>
    <row r="81" spans="1:26" customHeight="1" ht="12">
      <c r="A81" s="1"/>
      <c r="B81" s="19" t="s">
        <v>104</v>
      </c>
      <c r="C81" s="21" t="s">
        <v>105</v>
      </c>
      <c r="D81" s="15" t="s">
        <v>82</v>
      </c>
      <c r="E81" s="16">
        <v>0</v>
      </c>
      <c r="F81" s="16">
        <v>0</v>
      </c>
      <c r="G81" s="16">
        <v>0</v>
      </c>
      <c r="H81" s="16">
        <v>0</v>
      </c>
      <c r="I81" s="17">
        <v>0</v>
      </c>
      <c r="J81" s="17">
        <v>0</v>
      </c>
      <c r="K81" s="17" t="str">
        <f>SUMIFS(G81:J81,$G$14:$J$14,$K$13)</f>
        <v>0</v>
      </c>
      <c r="L81" s="17" t="str">
        <f>SUMIFS(G81:J81,$G$14:$J$14,$L$13)</f>
        <v>0</v>
      </c>
      <c r="M81" s="17"/>
      <c r="N81" s="17"/>
      <c r="O81" s="17" t="str">
        <f>L81*F81</f>
        <v>0</v>
      </c>
      <c r="P81" s="17" t="str">
        <f>N81+O81</f>
        <v>0</v>
      </c>
      <c r="Q81" s="21"/>
      <c r="R81" s="5"/>
      <c r="S81" s="22" t="str">
        <f>K81+L81</f>
        <v>0</v>
      </c>
      <c r="T81" s="1"/>
      <c r="U81" s="1"/>
      <c r="V81" s="1"/>
      <c r="W81" s="1"/>
      <c r="X81" s="1"/>
      <c r="Y81" s="1"/>
      <c r="Z81" s="1"/>
    </row>
    <row r="82" spans="1:26" customHeight="1" ht="12">
      <c r="A82" s="1"/>
      <c r="B82" s="19"/>
      <c r="C82" s="21" t="s">
        <v>106</v>
      </c>
      <c r="D82" s="15" t="s">
        <v>82</v>
      </c>
      <c r="E82" s="16">
        <v>0</v>
      </c>
      <c r="F82" s="16">
        <v>200000</v>
      </c>
      <c r="G82" s="16">
        <v>0</v>
      </c>
      <c r="H82" s="16">
        <v>0</v>
      </c>
      <c r="I82" s="17">
        <v>0</v>
      </c>
      <c r="J82" s="17">
        <v>0</v>
      </c>
      <c r="K82" s="17" t="str">
        <f>SUMIFS(G82:J82,$G$14:$J$14,$K$13)</f>
        <v>0</v>
      </c>
      <c r="L82" s="17" t="str">
        <f>SUMIFS(G82:J82,$G$14:$J$14,$L$13)</f>
        <v>0</v>
      </c>
      <c r="M82" s="17"/>
      <c r="N82" s="17"/>
      <c r="O82" s="17" t="str">
        <f>L82*F82</f>
        <v>0</v>
      </c>
      <c r="P82" s="17" t="str">
        <f>N82+O82</f>
        <v>0</v>
      </c>
      <c r="Q82" s="21"/>
      <c r="R82" s="5"/>
      <c r="S82" s="22" t="str">
        <f>K82+L82</f>
        <v>0</v>
      </c>
      <c r="T82" s="1"/>
      <c r="U82" s="1"/>
      <c r="V82" s="1"/>
      <c r="W82" s="1"/>
      <c r="X82" s="1"/>
      <c r="Y82" s="1"/>
      <c r="Z82" s="1"/>
    </row>
    <row r="83" spans="1:26" customHeight="1" ht="12">
      <c r="A83" s="1"/>
      <c r="B83" s="19" t="s">
        <v>107</v>
      </c>
      <c r="C83" s="21" t="s">
        <v>108</v>
      </c>
      <c r="D83" s="15" t="s">
        <v>82</v>
      </c>
      <c r="E83" s="16">
        <v>0</v>
      </c>
      <c r="F83" s="16">
        <v>0</v>
      </c>
      <c r="G83" s="17">
        <v>0</v>
      </c>
      <c r="H83" s="17">
        <v>0</v>
      </c>
      <c r="I83" s="17">
        <v>0</v>
      </c>
      <c r="J83" s="17">
        <v>0</v>
      </c>
      <c r="K83" s="17" t="str">
        <f>SUMIFS(G83:J83,$G$14:$J$14,$K$13)</f>
        <v>0</v>
      </c>
      <c r="L83" s="17" t="str">
        <f>SUMIFS(G83:J83,$G$14:$J$14,$L$13)</f>
        <v>0</v>
      </c>
      <c r="M83" s="17"/>
      <c r="N83" s="17"/>
      <c r="O83" s="17" t="str">
        <f>L83*F83</f>
        <v>0</v>
      </c>
      <c r="P83" s="17" t="str">
        <f>N83+O83</f>
        <v>0</v>
      </c>
      <c r="Q83" s="21"/>
      <c r="R83" s="5"/>
      <c r="S83" s="22" t="str">
        <f>K83+L83</f>
        <v>0</v>
      </c>
      <c r="T83" s="1"/>
      <c r="U83" s="1"/>
      <c r="V83" s="1"/>
      <c r="W83" s="1"/>
      <c r="X83" s="1"/>
      <c r="Y83" s="1"/>
      <c r="Z83" s="1"/>
    </row>
    <row r="84" spans="1:26" customHeight="1" ht="12">
      <c r="A84" s="1"/>
      <c r="B84" s="19"/>
      <c r="C84" s="35" t="s">
        <v>109</v>
      </c>
      <c r="D84" s="15" t="s">
        <v>82</v>
      </c>
      <c r="E84" s="16">
        <v>710000</v>
      </c>
      <c r="F84" s="16">
        <v>0</v>
      </c>
      <c r="G84" s="17">
        <v>0</v>
      </c>
      <c r="H84" s="17">
        <v>0</v>
      </c>
      <c r="I84" s="17">
        <v>0</v>
      </c>
      <c r="J84" s="17">
        <v>0</v>
      </c>
      <c r="K84" s="17" t="str">
        <f>SUMIFS(G84:J84,$G$14:$J$14,$K$13)</f>
        <v>0</v>
      </c>
      <c r="L84" s="17" t="str">
        <f>SUMIFS(G84:J84,$G$14:$J$14,$L$13)</f>
        <v>0</v>
      </c>
      <c r="M84" s="17"/>
      <c r="N84" s="17"/>
      <c r="O84" s="17" t="str">
        <f>L84*F84</f>
        <v>0</v>
      </c>
      <c r="P84" s="17" t="str">
        <f>N84+O84</f>
        <v>0</v>
      </c>
      <c r="Q84" s="21"/>
      <c r="R84" s="5"/>
      <c r="S84" s="22" t="str">
        <f>K84+L84</f>
        <v>0</v>
      </c>
      <c r="T84" s="1"/>
      <c r="U84" s="1"/>
      <c r="V84" s="1"/>
      <c r="W84" s="1"/>
      <c r="X84" s="1"/>
      <c r="Y84" s="1"/>
      <c r="Z84" s="1"/>
    </row>
    <row r="85" spans="1:26" customHeight="1" ht="12">
      <c r="A85" s="1"/>
      <c r="B85" s="19"/>
      <c r="C85" s="35" t="s">
        <v>110</v>
      </c>
      <c r="D85" s="15" t="s">
        <v>82</v>
      </c>
      <c r="E85" s="16">
        <v>810000</v>
      </c>
      <c r="F85" s="16">
        <v>0</v>
      </c>
      <c r="G85" s="17">
        <v>0</v>
      </c>
      <c r="H85" s="17">
        <v>0</v>
      </c>
      <c r="I85" s="17">
        <v>0</v>
      </c>
      <c r="J85" s="17">
        <v>0</v>
      </c>
      <c r="K85" s="17" t="str">
        <f>SUMIFS(G85:J85,$G$14:$J$14,$K$13)</f>
        <v>0</v>
      </c>
      <c r="L85" s="17" t="str">
        <f>SUMIFS(G85:J85,$G$14:$J$14,$L$13)</f>
        <v>0</v>
      </c>
      <c r="M85" s="17"/>
      <c r="N85" s="17"/>
      <c r="O85" s="17" t="str">
        <f>L85*F85</f>
        <v>0</v>
      </c>
      <c r="P85" s="17" t="str">
        <f>N85+O85</f>
        <v>0</v>
      </c>
      <c r="Q85" s="21"/>
      <c r="R85" s="5"/>
      <c r="S85" s="22" t="str">
        <f>K85+L85</f>
        <v>0</v>
      </c>
      <c r="T85" s="1"/>
      <c r="U85" s="1"/>
      <c r="V85" s="1"/>
      <c r="W85" s="1"/>
      <c r="X85" s="1"/>
      <c r="Y85" s="1"/>
      <c r="Z85" s="1"/>
    </row>
    <row r="86" spans="1:26" customHeight="1" ht="12">
      <c r="A86" s="1"/>
      <c r="B86" s="19"/>
      <c r="C86" s="35" t="s">
        <v>111</v>
      </c>
      <c r="D86" s="15" t="s">
        <v>82</v>
      </c>
      <c r="E86" s="16">
        <v>860000</v>
      </c>
      <c r="F86" s="16">
        <v>0</v>
      </c>
      <c r="G86" s="17">
        <v>0</v>
      </c>
      <c r="H86" s="17">
        <v>0</v>
      </c>
      <c r="I86" s="17">
        <v>0</v>
      </c>
      <c r="J86" s="17">
        <v>0</v>
      </c>
      <c r="K86" s="17" t="str">
        <f>SUMIFS(G86:J86,$G$14:$J$14,$K$13)</f>
        <v>0</v>
      </c>
      <c r="L86" s="17" t="str">
        <f>SUMIFS(G86:J86,$G$14:$J$14,$L$13)</f>
        <v>0</v>
      </c>
      <c r="M86" s="17" t="str">
        <f>K86*E86</f>
        <v>0</v>
      </c>
      <c r="N86" s="17"/>
      <c r="O86" s="17" t="str">
        <f>L86*F86</f>
        <v>0</v>
      </c>
      <c r="P86" s="17" t="str">
        <f>N86+O86</f>
        <v>0</v>
      </c>
      <c r="Q86" s="21"/>
      <c r="R86" s="5"/>
      <c r="S86" s="22" t="str">
        <f>K86+L86</f>
        <v>0</v>
      </c>
      <c r="T86" s="1"/>
      <c r="U86" s="1"/>
      <c r="V86" s="1"/>
      <c r="W86" s="1"/>
      <c r="X86" s="1"/>
      <c r="Y86" s="1"/>
      <c r="Z86" s="1"/>
    </row>
    <row r="87" spans="1:26" customHeight="1" ht="12">
      <c r="A87" s="1"/>
      <c r="B87" s="19"/>
      <c r="C87" s="35" t="s">
        <v>112</v>
      </c>
      <c r="D87" s="15" t="s">
        <v>82</v>
      </c>
      <c r="E87" s="16">
        <v>975000</v>
      </c>
      <c r="F87" s="16">
        <v>60000</v>
      </c>
      <c r="G87" s="17">
        <v>0</v>
      </c>
      <c r="H87" s="17">
        <v>0</v>
      </c>
      <c r="I87" s="17">
        <v>0</v>
      </c>
      <c r="J87" s="17">
        <v>0</v>
      </c>
      <c r="K87" s="17" t="str">
        <f>SUMIFS(G87:J87,$G$14:$J$14,$K$13)</f>
        <v>0</v>
      </c>
      <c r="L87" s="17" t="str">
        <f>SUMIFS(G87:J87,$G$14:$J$14,$L$13)</f>
        <v>0</v>
      </c>
      <c r="M87" s="17"/>
      <c r="N87" s="17"/>
      <c r="O87" s="17" t="str">
        <f>L87*F87</f>
        <v>0</v>
      </c>
      <c r="P87" s="17" t="str">
        <f>N87+O87</f>
        <v>0</v>
      </c>
      <c r="Q87" s="21"/>
      <c r="R87" s="5"/>
      <c r="S87" s="22" t="str">
        <f>K87+L87</f>
        <v>0</v>
      </c>
      <c r="T87" s="1"/>
      <c r="U87" s="1"/>
      <c r="V87" s="1"/>
      <c r="W87" s="1"/>
      <c r="X87" s="1"/>
      <c r="Y87" s="1"/>
      <c r="Z87" s="1"/>
    </row>
    <row r="88" spans="1:26" customHeight="1" ht="12">
      <c r="A88" s="1"/>
      <c r="B88" s="19"/>
      <c r="C88" s="35" t="s">
        <v>113</v>
      </c>
      <c r="D88" s="15" t="s">
        <v>82</v>
      </c>
      <c r="E88" s="16">
        <v>950000</v>
      </c>
      <c r="F88" s="16">
        <v>60000</v>
      </c>
      <c r="G88" s="17">
        <v>0</v>
      </c>
      <c r="H88" s="17">
        <v>0</v>
      </c>
      <c r="I88" s="17">
        <v>0</v>
      </c>
      <c r="J88" s="17">
        <v>0</v>
      </c>
      <c r="K88" s="17" t="str">
        <f>SUMIFS(G88:J88,$G$14:$J$14,$K$13)</f>
        <v>0</v>
      </c>
      <c r="L88" s="17" t="str">
        <f>SUMIFS(G88:J88,$G$14:$J$14,$L$13)</f>
        <v>0</v>
      </c>
      <c r="M88" s="17"/>
      <c r="N88" s="17"/>
      <c r="O88" s="17" t="str">
        <f>L88*F88</f>
        <v>0</v>
      </c>
      <c r="P88" s="17" t="str">
        <f>N88+O88</f>
        <v>0</v>
      </c>
      <c r="Q88" s="21"/>
      <c r="R88" s="5"/>
      <c r="S88" s="22" t="str">
        <f>K88+L88</f>
        <v>0</v>
      </c>
      <c r="T88" s="1"/>
      <c r="U88" s="1"/>
      <c r="V88" s="1"/>
      <c r="W88" s="1"/>
      <c r="X88" s="1"/>
      <c r="Y88" s="1"/>
      <c r="Z88" s="1"/>
    </row>
    <row r="89" spans="1:26" customHeight="1" ht="12">
      <c r="A89" s="1"/>
      <c r="B89" s="19"/>
      <c r="C89" s="35" t="s">
        <v>114</v>
      </c>
      <c r="D89" s="15" t="s">
        <v>82</v>
      </c>
      <c r="E89" s="16">
        <v>1495000</v>
      </c>
      <c r="F89" s="16">
        <v>0</v>
      </c>
      <c r="G89" s="17">
        <v>0</v>
      </c>
      <c r="H89" s="17">
        <v>0</v>
      </c>
      <c r="I89" s="17">
        <v>0</v>
      </c>
      <c r="J89" s="17">
        <v>0</v>
      </c>
      <c r="K89" s="17" t="str">
        <f>SUMIFS(G89:J89,$G$14:$J$14,$K$13)</f>
        <v>0</v>
      </c>
      <c r="L89" s="17" t="str">
        <f>SUMIFS(G89:J89,$G$14:$J$14,$L$13)</f>
        <v>0</v>
      </c>
      <c r="M89" s="17" t="str">
        <f>K89*E89</f>
        <v>0</v>
      </c>
      <c r="N89" s="17"/>
      <c r="O89" s="17" t="str">
        <f>L89*F89</f>
        <v>0</v>
      </c>
      <c r="P89" s="17" t="str">
        <f>N89+O89</f>
        <v>0</v>
      </c>
      <c r="Q89" s="21"/>
      <c r="R89" s="5"/>
      <c r="S89" s="22" t="str">
        <f>K89+L89</f>
        <v>0</v>
      </c>
      <c r="T89" s="1"/>
      <c r="U89" s="1"/>
      <c r="V89" s="1"/>
      <c r="W89" s="1"/>
      <c r="X89" s="1"/>
      <c r="Y89" s="1"/>
      <c r="Z89" s="1"/>
    </row>
    <row r="90" spans="1:26" customHeight="1" ht="12">
      <c r="A90" s="1"/>
      <c r="B90" s="19"/>
      <c r="C90" s="35" t="s">
        <v>115</v>
      </c>
      <c r="D90" s="15" t="s">
        <v>82</v>
      </c>
      <c r="E90" s="16">
        <v>2015000</v>
      </c>
      <c r="F90" s="16">
        <v>0</v>
      </c>
      <c r="G90" s="17">
        <v>0</v>
      </c>
      <c r="H90" s="17">
        <v>0</v>
      </c>
      <c r="I90" s="17">
        <v>0</v>
      </c>
      <c r="J90" s="17">
        <v>0</v>
      </c>
      <c r="K90" s="17" t="str">
        <f>SUMIFS(G90:J90,$G$14:$J$14,$K$13)</f>
        <v>0</v>
      </c>
      <c r="L90" s="17" t="str">
        <f>SUMIFS(G90:J90,$G$14:$J$14,$L$13)</f>
        <v>0</v>
      </c>
      <c r="M90" s="17"/>
      <c r="N90" s="17"/>
      <c r="O90" s="17" t="str">
        <f>L90*F90</f>
        <v>0</v>
      </c>
      <c r="P90" s="17" t="str">
        <f>N90+O90</f>
        <v>0</v>
      </c>
      <c r="Q90" s="21"/>
      <c r="R90" s="5"/>
      <c r="S90" s="22" t="str">
        <f>K90+L90</f>
        <v>0</v>
      </c>
      <c r="T90" s="1"/>
      <c r="U90" s="1"/>
      <c r="V90" s="1"/>
      <c r="W90" s="1"/>
      <c r="X90" s="1"/>
      <c r="Y90" s="1"/>
      <c r="Z90" s="1"/>
    </row>
    <row r="91" spans="1:26" customHeight="1" ht="12">
      <c r="A91" s="1"/>
      <c r="B91" s="19"/>
      <c r="C91" s="35" t="s">
        <v>116</v>
      </c>
      <c r="D91" s="15" t="s">
        <v>82</v>
      </c>
      <c r="E91" s="16">
        <v>710000</v>
      </c>
      <c r="F91" s="16">
        <v>0</v>
      </c>
      <c r="G91" s="17">
        <v>0</v>
      </c>
      <c r="H91" s="17">
        <v>0</v>
      </c>
      <c r="I91" s="17">
        <v>0</v>
      </c>
      <c r="J91" s="17">
        <v>0</v>
      </c>
      <c r="K91" s="17" t="str">
        <f>SUMIFS(G91:J91,$G$14:$J$14,$K$13)</f>
        <v>0</v>
      </c>
      <c r="L91" s="17" t="str">
        <f>SUMIFS(G91:J91,$G$14:$J$14,$L$13)</f>
        <v>0</v>
      </c>
      <c r="M91" s="17"/>
      <c r="N91" s="17"/>
      <c r="O91" s="17" t="str">
        <f>L91*F91</f>
        <v>0</v>
      </c>
      <c r="P91" s="17" t="str">
        <f>N91+O91</f>
        <v>0</v>
      </c>
      <c r="Q91" s="21"/>
      <c r="R91" s="5"/>
      <c r="S91" s="22" t="str">
        <f>K91+L91</f>
        <v>0</v>
      </c>
      <c r="T91" s="1"/>
      <c r="U91" s="1"/>
      <c r="V91" s="1"/>
      <c r="W91" s="1"/>
      <c r="X91" s="1"/>
      <c r="Y91" s="1"/>
      <c r="Z91" s="1"/>
    </row>
    <row r="92" spans="1:26" customHeight="1" ht="12">
      <c r="A92" s="1"/>
      <c r="B92" s="19"/>
      <c r="C92" s="36" t="s">
        <v>117</v>
      </c>
      <c r="D92" s="15" t="s">
        <v>82</v>
      </c>
      <c r="E92" s="16">
        <v>810000</v>
      </c>
      <c r="F92" s="16">
        <v>0</v>
      </c>
      <c r="G92" s="17">
        <v>0</v>
      </c>
      <c r="H92" s="17">
        <v>0</v>
      </c>
      <c r="I92" s="17">
        <v>0</v>
      </c>
      <c r="J92" s="17">
        <v>0</v>
      </c>
      <c r="K92" s="37" t="str">
        <f>SUMIFS(G92:J92,$G$14:$J$14,$K$13)</f>
        <v>0</v>
      </c>
      <c r="L92" s="37" t="str">
        <f>SUMIFS(G92:J92,$G$14:$J$14,$L$13)</f>
        <v>0</v>
      </c>
      <c r="M92" s="37"/>
      <c r="N92" s="37"/>
      <c r="O92" s="17" t="str">
        <f>L92*F92</f>
        <v>0</v>
      </c>
      <c r="P92" s="17" t="str">
        <f>N92+O92</f>
        <v>0</v>
      </c>
      <c r="Q92" s="21"/>
      <c r="R92" s="5"/>
      <c r="S92" s="22" t="str">
        <f>K92+L92</f>
        <v>0</v>
      </c>
      <c r="T92" s="1"/>
      <c r="U92" s="1"/>
      <c r="V92" s="1"/>
      <c r="W92" s="1"/>
      <c r="X92" s="1"/>
      <c r="Y92" s="1"/>
      <c r="Z92" s="1"/>
    </row>
    <row r="93" spans="1:26" customHeight="1" ht="12">
      <c r="A93" s="1"/>
      <c r="B93" s="19"/>
      <c r="C93" s="36" t="s">
        <v>118</v>
      </c>
      <c r="D93" s="15" t="s">
        <v>82</v>
      </c>
      <c r="E93" s="16">
        <v>860000</v>
      </c>
      <c r="F93" s="16">
        <v>0</v>
      </c>
      <c r="G93" s="17">
        <v>0</v>
      </c>
      <c r="H93" s="17">
        <v>0</v>
      </c>
      <c r="I93" s="17">
        <v>0</v>
      </c>
      <c r="J93" s="17">
        <v>0</v>
      </c>
      <c r="K93" s="37" t="str">
        <f>SUMIFS(G93:J93,$G$14:$J$14,$K$13)</f>
        <v>0</v>
      </c>
      <c r="L93" s="37" t="str">
        <f>SUMIFS(G93:J93,$G$14:$J$14,$L$13)</f>
        <v>0</v>
      </c>
      <c r="M93" s="37"/>
      <c r="N93" s="37"/>
      <c r="O93" s="17" t="str">
        <f>L93*F93</f>
        <v>0</v>
      </c>
      <c r="P93" s="17" t="str">
        <f>N93+O93</f>
        <v>0</v>
      </c>
      <c r="Q93" s="21"/>
      <c r="R93" s="5"/>
      <c r="S93" s="22" t="str">
        <f>K93+L93</f>
        <v>0</v>
      </c>
      <c r="T93" s="1"/>
      <c r="U93" s="1"/>
      <c r="V93" s="1"/>
      <c r="W93" s="1"/>
      <c r="X93" s="1"/>
      <c r="Y93" s="1"/>
      <c r="Z93" s="1"/>
    </row>
    <row r="94" spans="1:26" customHeight="1" ht="12">
      <c r="A94" s="1"/>
      <c r="B94" s="19"/>
      <c r="C94" s="36" t="s">
        <v>119</v>
      </c>
      <c r="D94" s="15" t="s">
        <v>82</v>
      </c>
      <c r="E94" s="16">
        <v>890000</v>
      </c>
      <c r="F94" s="16">
        <v>60000</v>
      </c>
      <c r="G94" s="37">
        <v>0</v>
      </c>
      <c r="H94" s="37">
        <v>0</v>
      </c>
      <c r="I94" s="17">
        <v>0</v>
      </c>
      <c r="J94" s="17">
        <v>0</v>
      </c>
      <c r="K94" s="37" t="str">
        <f>SUMIFS(G94:J94,$G$14:$J$14,$K$13)</f>
        <v>0</v>
      </c>
      <c r="L94" s="37" t="str">
        <f>SUMIFS(G94:J94,$G$14:$J$14,$L$13)</f>
        <v>0</v>
      </c>
      <c r="M94" s="37"/>
      <c r="N94" s="37"/>
      <c r="O94" s="17" t="str">
        <f>L94*F94</f>
        <v>0</v>
      </c>
      <c r="P94" s="17" t="str">
        <f>N94+O94</f>
        <v>0</v>
      </c>
      <c r="Q94" s="21"/>
      <c r="R94" s="5"/>
      <c r="S94" s="22" t="str">
        <f>K94+L94</f>
        <v>0</v>
      </c>
      <c r="T94" s="1"/>
      <c r="U94" s="1"/>
      <c r="V94" s="1"/>
      <c r="W94" s="1"/>
      <c r="X94" s="1"/>
      <c r="Y94" s="1"/>
      <c r="Z94" s="1"/>
    </row>
    <row r="95" spans="1:26" customHeight="1" ht="12">
      <c r="A95" s="1"/>
      <c r="B95" s="19"/>
      <c r="C95" s="36" t="s">
        <v>120</v>
      </c>
      <c r="D95" s="15" t="s">
        <v>82</v>
      </c>
      <c r="E95" s="16">
        <v>1035000</v>
      </c>
      <c r="F95" s="16">
        <v>60000</v>
      </c>
      <c r="G95" s="37">
        <v>0</v>
      </c>
      <c r="H95" s="37">
        <v>0</v>
      </c>
      <c r="I95" s="16">
        <v>0</v>
      </c>
      <c r="J95" s="16">
        <v>0</v>
      </c>
      <c r="K95" s="37" t="str">
        <f>SUMIFS(G95:J95,$G$14:$J$14,$K$13)</f>
        <v>0</v>
      </c>
      <c r="L95" s="37" t="str">
        <f>SUMIFS(G95:J95,$G$14:$J$14,$L$13)</f>
        <v>0</v>
      </c>
      <c r="M95" s="37"/>
      <c r="N95" s="37"/>
      <c r="O95" s="17" t="str">
        <f>L95*F95</f>
        <v>0</v>
      </c>
      <c r="P95" s="17" t="str">
        <f>N95+O95</f>
        <v>0</v>
      </c>
      <c r="Q95" s="21"/>
      <c r="R95" s="5"/>
      <c r="S95" s="22" t="str">
        <f>K95+L95</f>
        <v>0</v>
      </c>
      <c r="T95" s="1"/>
      <c r="U95" s="1"/>
      <c r="V95" s="1"/>
      <c r="W95" s="1"/>
      <c r="X95" s="1"/>
      <c r="Y95" s="1"/>
      <c r="Z95" s="1"/>
    </row>
    <row r="96" spans="1:26" customHeight="1" ht="12">
      <c r="A96" s="1"/>
      <c r="B96" s="19"/>
      <c r="C96" s="36" t="s">
        <v>121</v>
      </c>
      <c r="D96" s="15" t="s">
        <v>82</v>
      </c>
      <c r="E96" s="16">
        <v>1215000</v>
      </c>
      <c r="F96" s="16">
        <v>0</v>
      </c>
      <c r="G96" s="37">
        <v>0</v>
      </c>
      <c r="H96" s="37">
        <v>0</v>
      </c>
      <c r="I96" s="16">
        <v>0</v>
      </c>
      <c r="J96" s="16">
        <v>0</v>
      </c>
      <c r="K96" s="37" t="str">
        <f>SUMIFS(G96:J96,$G$14:$J$14,$K$13)</f>
        <v>0</v>
      </c>
      <c r="L96" s="37" t="str">
        <f>SUMIFS(G96:J96,$G$14:$J$14,$L$13)</f>
        <v>0</v>
      </c>
      <c r="M96" s="37"/>
      <c r="N96" s="37"/>
      <c r="O96" s="17" t="str">
        <f>L96*F96</f>
        <v>0</v>
      </c>
      <c r="P96" s="17" t="str">
        <f>N96+O96</f>
        <v>0</v>
      </c>
      <c r="Q96" s="21"/>
      <c r="R96" s="5"/>
      <c r="S96" s="22" t="str">
        <f>K96+L96</f>
        <v>0</v>
      </c>
      <c r="T96" s="1"/>
      <c r="U96" s="1"/>
      <c r="V96" s="1"/>
      <c r="W96" s="1"/>
      <c r="X96" s="1"/>
      <c r="Y96" s="1"/>
      <c r="Z96" s="1"/>
    </row>
    <row r="97" spans="1:26" customHeight="1" ht="12">
      <c r="A97" s="1"/>
      <c r="B97" s="19"/>
      <c r="C97" s="36" t="s">
        <v>122</v>
      </c>
      <c r="D97" s="15" t="s">
        <v>82</v>
      </c>
      <c r="E97" s="16">
        <v>1495000</v>
      </c>
      <c r="F97" s="16">
        <v>0</v>
      </c>
      <c r="G97" s="37">
        <v>0</v>
      </c>
      <c r="H97" s="37">
        <v>0</v>
      </c>
      <c r="I97" s="16">
        <v>0</v>
      </c>
      <c r="J97" s="16">
        <v>0</v>
      </c>
      <c r="K97" s="37" t="str">
        <f>SUMIFS(G97:J97,$G$14:$J$14,$K$13)</f>
        <v>0</v>
      </c>
      <c r="L97" s="37" t="str">
        <f>SUMIFS(G97:J97,$G$14:$J$14,$L$13)</f>
        <v>0</v>
      </c>
      <c r="M97" s="37"/>
      <c r="N97" s="37"/>
      <c r="O97" s="17" t="str">
        <f>L97*F97</f>
        <v>0</v>
      </c>
      <c r="P97" s="17" t="str">
        <f>N97+O97</f>
        <v>0</v>
      </c>
      <c r="Q97" s="21"/>
      <c r="R97" s="5"/>
      <c r="S97" s="22" t="str">
        <f>K97+L97</f>
        <v>0</v>
      </c>
      <c r="T97" s="1"/>
      <c r="U97" s="1"/>
      <c r="V97" s="1"/>
      <c r="W97" s="1"/>
      <c r="X97" s="1"/>
      <c r="Y97" s="1"/>
      <c r="Z97" s="1"/>
    </row>
    <row r="98" spans="1:26" customHeight="1" ht="12">
      <c r="A98" s="1"/>
      <c r="B98" s="19" t="s">
        <v>123</v>
      </c>
      <c r="C98" s="21" t="s">
        <v>124</v>
      </c>
      <c r="D98" s="15" t="s">
        <v>125</v>
      </c>
      <c r="E98" s="16">
        <v>23500</v>
      </c>
      <c r="F98" s="16">
        <v>0</v>
      </c>
      <c r="G98" s="37">
        <v>0</v>
      </c>
      <c r="H98" s="37">
        <v>0</v>
      </c>
      <c r="I98" s="16">
        <v>0</v>
      </c>
      <c r="J98" s="16">
        <v>0</v>
      </c>
      <c r="K98" s="17" t="str">
        <f>SUMIFS(G98:J98,$G$14:$J$14,$K$13)</f>
        <v>0</v>
      </c>
      <c r="L98" s="17" t="str">
        <f>SUMIFS(G98:J98,$G$14:$J$14,$L$13)</f>
        <v>0</v>
      </c>
      <c r="M98" s="17"/>
      <c r="N98" s="17"/>
      <c r="O98" s="17" t="str">
        <f>L98*F98</f>
        <v>0</v>
      </c>
      <c r="P98" s="17" t="str">
        <f>N98+O98</f>
        <v>0</v>
      </c>
      <c r="Q98" s="21"/>
      <c r="R98" s="5"/>
      <c r="S98" s="22" t="str">
        <f>K98+L98</f>
        <v>0</v>
      </c>
      <c r="T98" s="1"/>
      <c r="U98" s="1"/>
      <c r="V98" s="1"/>
      <c r="W98" s="1"/>
      <c r="X98" s="1"/>
      <c r="Y98" s="1"/>
      <c r="Z98" s="1"/>
    </row>
    <row r="99" spans="1:26" customHeight="1" ht="12">
      <c r="A99" s="1"/>
      <c r="B99" s="19" t="s">
        <v>126</v>
      </c>
      <c r="C99" s="21" t="s">
        <v>127</v>
      </c>
      <c r="D99" s="15" t="s">
        <v>125</v>
      </c>
      <c r="E99" s="16">
        <v>27500</v>
      </c>
      <c r="F99" s="16">
        <v>0</v>
      </c>
      <c r="G99" s="37">
        <v>0</v>
      </c>
      <c r="H99" s="37">
        <v>0</v>
      </c>
      <c r="I99" s="16">
        <v>0</v>
      </c>
      <c r="J99" s="16">
        <v>0</v>
      </c>
      <c r="K99" s="17" t="str">
        <f>SUMIFS(G99:J99,$G$14:$J$14,$K$13)</f>
        <v>0</v>
      </c>
      <c r="L99" s="17" t="str">
        <f>SUMIFS(G99:J99,$G$14:$J$14,$L$13)</f>
        <v>0</v>
      </c>
      <c r="M99" s="17"/>
      <c r="N99" s="17"/>
      <c r="O99" s="17" t="str">
        <f>L99*F99</f>
        <v>0</v>
      </c>
      <c r="P99" s="17" t="str">
        <f>N99+O99</f>
        <v>0</v>
      </c>
      <c r="Q99" s="21"/>
      <c r="R99" s="5"/>
      <c r="S99" s="22" t="str">
        <f>K99+L99</f>
        <v>0</v>
      </c>
      <c r="T99" s="1"/>
      <c r="U99" s="1"/>
      <c r="V99" s="1"/>
      <c r="W99" s="1"/>
      <c r="X99" s="1"/>
      <c r="Y99" s="1"/>
      <c r="Z99" s="1"/>
    </row>
    <row r="100" spans="1:26" customHeight="1" ht="12">
      <c r="A100" s="1"/>
      <c r="B100" s="19" t="s">
        <v>128</v>
      </c>
      <c r="C100" s="21" t="s">
        <v>129</v>
      </c>
      <c r="D100" s="15" t="s">
        <v>130</v>
      </c>
      <c r="E100" s="16">
        <v>0</v>
      </c>
      <c r="F100" s="16">
        <v>48000</v>
      </c>
      <c r="G100" s="37">
        <v>0</v>
      </c>
      <c r="H100" s="37">
        <v>20</v>
      </c>
      <c r="I100" s="16">
        <v>0</v>
      </c>
      <c r="J100" s="16">
        <v>6</v>
      </c>
      <c r="K100" s="17" t="str">
        <f>SUMIFS(G100:J100,$G$14:$J$14,$K$13)</f>
        <v>0</v>
      </c>
      <c r="L100" s="17" t="str">
        <f>SUMIFS(G100:J100,$G$14:$J$14,$L$13)</f>
        <v>0</v>
      </c>
      <c r="M100" s="17"/>
      <c r="N100" s="17"/>
      <c r="O100" s="17" t="str">
        <f>L100*F100</f>
        <v>0</v>
      </c>
      <c r="P100" s="17" t="str">
        <f>N100+O100</f>
        <v>0</v>
      </c>
      <c r="Q100" s="21"/>
      <c r="R100" s="5"/>
      <c r="S100" s="22" t="str">
        <f>K100+L100</f>
        <v>0</v>
      </c>
      <c r="T100" s="1"/>
      <c r="U100" s="1"/>
      <c r="V100" s="1"/>
      <c r="W100" s="1"/>
      <c r="X100" s="1"/>
      <c r="Y100" s="1"/>
      <c r="Z100" s="1"/>
    </row>
    <row r="101" spans="1:26" customHeight="1" ht="12">
      <c r="A101" s="1"/>
      <c r="B101" s="19"/>
      <c r="C101" s="21" t="s">
        <v>131</v>
      </c>
      <c r="D101" s="15" t="s">
        <v>125</v>
      </c>
      <c r="E101" s="16">
        <v>0</v>
      </c>
      <c r="F101" s="16">
        <v>0</v>
      </c>
      <c r="G101" s="37">
        <v>0</v>
      </c>
      <c r="H101" s="37">
        <v>0</v>
      </c>
      <c r="I101" s="17">
        <v>0</v>
      </c>
      <c r="J101" s="17">
        <v>0</v>
      </c>
      <c r="K101" s="17" t="str">
        <f>SUMIFS(G101:J101,$G$14:$J$14,$K$13)</f>
        <v>0</v>
      </c>
      <c r="L101" s="17" t="str">
        <f>SUMIFS(G101:J101,$G$14:$J$14,$L$13)</f>
        <v>0</v>
      </c>
      <c r="M101" s="17"/>
      <c r="N101" s="17"/>
      <c r="O101" s="17" t="str">
        <f>L101*F101</f>
        <v>0</v>
      </c>
      <c r="P101" s="17" t="str">
        <f>N101+O101</f>
        <v>0</v>
      </c>
      <c r="Q101" s="21"/>
      <c r="R101" s="5"/>
      <c r="S101" s="22" t="str">
        <f>K101+L101</f>
        <v>0</v>
      </c>
      <c r="T101" s="1"/>
      <c r="U101" s="1"/>
      <c r="V101" s="1"/>
      <c r="W101" s="1"/>
      <c r="X101" s="1"/>
      <c r="Y101" s="1"/>
      <c r="Z101" s="1"/>
    </row>
    <row r="102" spans="1:26" customHeight="1" ht="12">
      <c r="A102" s="1"/>
      <c r="B102" s="19" t="s">
        <v>132</v>
      </c>
      <c r="C102" s="21" t="s">
        <v>133</v>
      </c>
      <c r="D102" s="15" t="s">
        <v>125</v>
      </c>
      <c r="E102" s="16">
        <v>27000</v>
      </c>
      <c r="F102" s="16">
        <v>0</v>
      </c>
      <c r="G102" s="37">
        <v>2.7</v>
      </c>
      <c r="H102" s="37">
        <v>2.7</v>
      </c>
      <c r="I102" s="17">
        <v>1</v>
      </c>
      <c r="J102" s="17">
        <v>0</v>
      </c>
      <c r="K102" s="17" t="str">
        <f>SUMIFS(G102:J102,$G$14:$J$14,$K$13)</f>
        <v>0</v>
      </c>
      <c r="L102" s="17" t="str">
        <f>SUMIFS(G102:J102,$G$14:$J$14,$L$13)</f>
        <v>0</v>
      </c>
      <c r="M102" s="17"/>
      <c r="N102" s="17"/>
      <c r="O102" s="17" t="str">
        <f>K102*E102</f>
        <v>0</v>
      </c>
      <c r="P102" s="17" t="str">
        <f>N102+O102</f>
        <v>0</v>
      </c>
      <c r="Q102" s="21"/>
      <c r="R102" s="5"/>
      <c r="S102" s="22" t="str">
        <f>K102+L102</f>
        <v>0</v>
      </c>
      <c r="T102" s="1"/>
      <c r="U102" s="1"/>
      <c r="V102" s="1"/>
      <c r="W102" s="1"/>
      <c r="X102" s="1"/>
      <c r="Y102" s="1"/>
      <c r="Z102" s="1"/>
    </row>
    <row r="103" spans="1:26" customHeight="1" ht="12">
      <c r="A103" s="1"/>
      <c r="B103" s="19" t="s">
        <v>134</v>
      </c>
      <c r="C103" s="21" t="s">
        <v>135</v>
      </c>
      <c r="D103" s="15" t="s">
        <v>125</v>
      </c>
      <c r="E103" s="16">
        <v>45000</v>
      </c>
      <c r="F103" s="16">
        <v>0</v>
      </c>
      <c r="G103" s="37">
        <v>1</v>
      </c>
      <c r="H103" s="37">
        <v>1</v>
      </c>
      <c r="I103" s="17">
        <v>0</v>
      </c>
      <c r="J103" s="17">
        <v>0</v>
      </c>
      <c r="K103" s="17" t="str">
        <f>SUMIFS(G103:J103,$G$14:$J$14,$K$13)</f>
        <v>0</v>
      </c>
      <c r="L103" s="17" t="str">
        <f>SUMIFS(G103:J103,$G$14:$J$14,$L$13)</f>
        <v>0</v>
      </c>
      <c r="M103" s="17"/>
      <c r="N103" s="17"/>
      <c r="O103" s="17" t="str">
        <f>K103*E103</f>
        <v>0</v>
      </c>
      <c r="P103" s="17" t="str">
        <f>N103+O103</f>
        <v>0</v>
      </c>
      <c r="Q103" s="21"/>
      <c r="R103" s="5"/>
      <c r="S103" s="22" t="str">
        <f>K103+L103</f>
        <v>0</v>
      </c>
      <c r="T103" s="1"/>
      <c r="U103" s="1"/>
      <c r="V103" s="1"/>
      <c r="W103" s="1"/>
      <c r="X103" s="1"/>
      <c r="Y103" s="1"/>
      <c r="Z103" s="1"/>
    </row>
    <row r="104" spans="1:26" customHeight="1" ht="12">
      <c r="A104" s="1"/>
      <c r="B104" s="19" t="s">
        <v>136</v>
      </c>
      <c r="C104" s="21" t="s">
        <v>137</v>
      </c>
      <c r="D104" s="15" t="s">
        <v>125</v>
      </c>
      <c r="E104" s="16">
        <v>35000</v>
      </c>
      <c r="F104" s="16">
        <v>0</v>
      </c>
      <c r="G104" s="37">
        <v>10</v>
      </c>
      <c r="H104" s="37">
        <v>10</v>
      </c>
      <c r="I104" s="17">
        <v>0</v>
      </c>
      <c r="J104" s="17">
        <v>0</v>
      </c>
      <c r="K104" s="17" t="str">
        <f>SUMIFS(G104:J104,$G$14:$J$14,$K$13)</f>
        <v>0</v>
      </c>
      <c r="L104" s="17" t="str">
        <f>SUMIFS(G104:J104,$G$14:$J$14,$L$13)</f>
        <v>0</v>
      </c>
      <c r="M104" s="17"/>
      <c r="N104" s="17"/>
      <c r="O104" s="17" t="str">
        <f>K104*E104</f>
        <v>0</v>
      </c>
      <c r="P104" s="17" t="str">
        <f>N104+O104</f>
        <v>0</v>
      </c>
      <c r="Q104" s="21"/>
      <c r="R104" s="5"/>
      <c r="S104" s="22" t="str">
        <f>K104+L104</f>
        <v>0</v>
      </c>
      <c r="T104" s="1"/>
      <c r="U104" s="1"/>
      <c r="V104" s="1"/>
      <c r="W104" s="1"/>
      <c r="X104" s="1"/>
      <c r="Y104" s="1"/>
      <c r="Z104" s="1"/>
    </row>
    <row r="105" spans="1:26" customHeight="1" ht="12">
      <c r="A105" s="1"/>
      <c r="B105" s="19" t="s">
        <v>138</v>
      </c>
      <c r="C105" s="21" t="s">
        <v>139</v>
      </c>
      <c r="D105" s="15" t="s">
        <v>125</v>
      </c>
      <c r="E105" s="16">
        <v>22000</v>
      </c>
      <c r="F105" s="16">
        <v>0</v>
      </c>
      <c r="G105" s="37">
        <v>6</v>
      </c>
      <c r="H105" s="37">
        <v>6</v>
      </c>
      <c r="I105" s="17">
        <v>0</v>
      </c>
      <c r="J105" s="17">
        <v>0</v>
      </c>
      <c r="K105" s="17" t="str">
        <f>SUMIFS(G105:J105,$G$14:$J$14,$K$13)</f>
        <v>0</v>
      </c>
      <c r="L105" s="17" t="str">
        <f>SUMIFS(G105:J105,$G$14:$J$14,$L$13)</f>
        <v>0</v>
      </c>
      <c r="M105" s="17"/>
      <c r="N105" s="17"/>
      <c r="O105" s="17" t="str">
        <f>K105*E105</f>
        <v>0</v>
      </c>
      <c r="P105" s="17" t="str">
        <f>N105+O105</f>
        <v>0</v>
      </c>
      <c r="Q105" s="21"/>
      <c r="R105" s="5"/>
      <c r="S105" s="22" t="str">
        <f>K105+L105</f>
        <v>0</v>
      </c>
      <c r="T105" s="1"/>
      <c r="U105" s="1"/>
      <c r="V105" s="1"/>
      <c r="W105" s="1"/>
      <c r="X105" s="1"/>
      <c r="Y105" s="1"/>
      <c r="Z105" s="1"/>
    </row>
    <row r="106" spans="1:26" customHeight="1" ht="12">
      <c r="A106" s="1"/>
      <c r="B106" s="19" t="s">
        <v>140</v>
      </c>
      <c r="C106" s="21" t="s">
        <v>141</v>
      </c>
      <c r="D106" s="15" t="s">
        <v>125</v>
      </c>
      <c r="E106" s="16">
        <v>22000</v>
      </c>
      <c r="F106" s="16">
        <v>0</v>
      </c>
      <c r="G106" s="17">
        <v>0</v>
      </c>
      <c r="H106" s="17">
        <v>0</v>
      </c>
      <c r="I106" s="17">
        <v>0</v>
      </c>
      <c r="J106" s="17">
        <v>0</v>
      </c>
      <c r="K106" s="17" t="str">
        <f>SUMIFS(G106:J106,$G$14:$J$14,$K$13)</f>
        <v>0</v>
      </c>
      <c r="L106" s="17" t="str">
        <f>SUMIFS(G106:J106,$G$14:$J$14,$L$13)</f>
        <v>0</v>
      </c>
      <c r="M106" s="17"/>
      <c r="N106" s="1"/>
      <c r="O106" s="17"/>
      <c r="P106" s="17" t="str">
        <f>N106+O106</f>
        <v>0</v>
      </c>
      <c r="Q106" s="21"/>
      <c r="R106" s="5"/>
      <c r="S106" s="22" t="str">
        <f>K106+L106</f>
        <v>0</v>
      </c>
      <c r="T106" s="1"/>
      <c r="U106" s="1"/>
      <c r="V106" s="1"/>
      <c r="W106" s="1"/>
      <c r="X106" s="1"/>
      <c r="Y106" s="1"/>
      <c r="Z106" s="1"/>
    </row>
    <row r="107" spans="1:26" customHeight="1" ht="12">
      <c r="A107" s="1"/>
      <c r="B107" s="19" t="s">
        <v>142</v>
      </c>
      <c r="C107" s="21" t="s">
        <v>143</v>
      </c>
      <c r="D107" s="15" t="s">
        <v>39</v>
      </c>
      <c r="E107" s="16">
        <v>0</v>
      </c>
      <c r="F107" s="16">
        <v>0</v>
      </c>
      <c r="G107" s="17">
        <v>0</v>
      </c>
      <c r="H107" s="17">
        <v>0</v>
      </c>
      <c r="I107" s="17">
        <v>0</v>
      </c>
      <c r="J107" s="17">
        <v>0</v>
      </c>
      <c r="K107" s="17" t="str">
        <f>SUMIFS(G107:J107,$G$14:$J$14,$K$13)</f>
        <v>0</v>
      </c>
      <c r="L107" s="17" t="str">
        <f>SUMIFS(G107:J107,$G$14:$J$14,$L$13)</f>
        <v>0</v>
      </c>
      <c r="M107" s="17"/>
      <c r="N107" s="1"/>
      <c r="O107" s="17"/>
      <c r="P107" s="17" t="str">
        <f>N107+O107</f>
        <v>0</v>
      </c>
      <c r="Q107" s="21"/>
      <c r="R107" s="5"/>
      <c r="S107" s="22" t="str">
        <f>K107+L107</f>
        <v>0</v>
      </c>
      <c r="T107" s="1"/>
      <c r="U107" s="1"/>
      <c r="V107" s="1"/>
      <c r="W107" s="1"/>
      <c r="X107" s="1"/>
      <c r="Y107" s="1"/>
      <c r="Z107" s="1"/>
    </row>
    <row r="108" spans="1:26" customHeight="1" ht="12">
      <c r="A108" s="1"/>
      <c r="B108" s="19"/>
      <c r="C108" s="21" t="s">
        <v>144</v>
      </c>
      <c r="D108" s="15" t="s">
        <v>39</v>
      </c>
      <c r="E108" s="16">
        <v>340000</v>
      </c>
      <c r="F108" s="16">
        <v>0</v>
      </c>
      <c r="G108" s="17">
        <v>0</v>
      </c>
      <c r="H108" s="17">
        <v>0</v>
      </c>
      <c r="I108" s="17">
        <v>0</v>
      </c>
      <c r="J108" s="17">
        <v>0</v>
      </c>
      <c r="K108" s="17" t="str">
        <f>SUMIFS(G108:J108,$G$14:$J$14,$K$13)</f>
        <v>0</v>
      </c>
      <c r="L108" s="17" t="str">
        <f>SUMIFS(G108:J108,$G$14:$J$14,$L$13)</f>
        <v>0</v>
      </c>
      <c r="M108" s="17"/>
      <c r="N108" s="1"/>
      <c r="O108" s="17"/>
      <c r="P108" s="17" t="str">
        <f>N108+O108</f>
        <v>0</v>
      </c>
      <c r="Q108" s="21"/>
      <c r="R108" s="5"/>
      <c r="S108" s="22" t="str">
        <f>K108+L108</f>
        <v>0</v>
      </c>
      <c r="T108" s="1"/>
      <c r="U108" s="1"/>
      <c r="V108" s="1"/>
      <c r="W108" s="1"/>
      <c r="X108" s="1"/>
      <c r="Y108" s="1"/>
      <c r="Z108" s="1"/>
    </row>
    <row r="109" spans="1:26" customHeight="1" ht="12">
      <c r="A109" s="1"/>
      <c r="B109" s="19"/>
      <c r="C109" s="21" t="s">
        <v>145</v>
      </c>
      <c r="D109" s="19" t="s">
        <v>55</v>
      </c>
      <c r="E109" s="16">
        <v>320000</v>
      </c>
      <c r="F109" s="16">
        <v>0</v>
      </c>
      <c r="G109" s="17">
        <v>0</v>
      </c>
      <c r="H109" s="17">
        <v>0</v>
      </c>
      <c r="I109" s="17">
        <v>0</v>
      </c>
      <c r="J109" s="17">
        <v>0</v>
      </c>
      <c r="K109" s="17" t="str">
        <f>SUMIFS(G109:J109,$G$14:$J$14,$K$13)</f>
        <v>0</v>
      </c>
      <c r="L109" s="17" t="str">
        <f>SUMIFS(G109:J109,$G$14:$J$14,$L$13)</f>
        <v>0</v>
      </c>
      <c r="M109" s="17"/>
      <c r="N109" s="1"/>
      <c r="O109" s="17"/>
      <c r="P109" s="17" t="str">
        <f>N109+O109</f>
        <v>0</v>
      </c>
      <c r="Q109" s="21"/>
      <c r="R109" s="5"/>
      <c r="S109" s="22" t="str">
        <f>K109+L109</f>
        <v>0</v>
      </c>
      <c r="T109" s="1"/>
      <c r="U109" s="1"/>
      <c r="V109" s="1"/>
      <c r="W109" s="1"/>
      <c r="X109" s="1"/>
      <c r="Y109" s="1"/>
      <c r="Z109" s="1"/>
    </row>
    <row r="110" spans="1:26" customHeight="1" ht="12">
      <c r="A110" s="1"/>
      <c r="B110" s="19"/>
      <c r="C110" s="38" t="s">
        <v>146</v>
      </c>
      <c r="D110" s="19" t="s">
        <v>55</v>
      </c>
      <c r="E110" s="16">
        <v>0</v>
      </c>
      <c r="F110" s="16">
        <v>3525000</v>
      </c>
      <c r="G110" s="17">
        <v>0</v>
      </c>
      <c r="H110" s="17">
        <v>0</v>
      </c>
      <c r="I110" s="17">
        <v>0</v>
      </c>
      <c r="J110" s="17">
        <v>0</v>
      </c>
      <c r="K110" s="17" t="str">
        <f>SUMIFS(G110:J110,$G$14:$J$14,$K$13)</f>
        <v>0</v>
      </c>
      <c r="L110" s="17" t="str">
        <f>SUMIFS(G110:J110,$G$14:$J$14,$L$13)</f>
        <v>0</v>
      </c>
      <c r="M110" s="17"/>
      <c r="N110" s="1"/>
      <c r="O110" s="17"/>
      <c r="P110" s="17" t="str">
        <f>N110+O110</f>
        <v>0</v>
      </c>
      <c r="Q110" s="21"/>
      <c r="R110" s="5"/>
      <c r="S110" s="22" t="str">
        <f>K110+L110</f>
        <v>0</v>
      </c>
      <c r="T110" s="1"/>
      <c r="U110" s="1"/>
      <c r="V110" s="1"/>
      <c r="W110" s="1"/>
      <c r="X110" s="1"/>
      <c r="Y110" s="1"/>
      <c r="Z110" s="1"/>
    </row>
    <row r="111" spans="1:26" customHeight="1" ht="12">
      <c r="A111" s="1"/>
      <c r="B111" s="19"/>
      <c r="C111" s="38" t="s">
        <v>147</v>
      </c>
      <c r="D111" s="19" t="s">
        <v>55</v>
      </c>
      <c r="E111" s="16">
        <v>0</v>
      </c>
      <c r="F111" s="16">
        <v>4760000</v>
      </c>
      <c r="G111" s="17">
        <v>0</v>
      </c>
      <c r="H111" s="17">
        <v>0</v>
      </c>
      <c r="I111" s="17">
        <v>0</v>
      </c>
      <c r="J111" s="17">
        <v>0</v>
      </c>
      <c r="K111" s="17" t="str">
        <f>SUMIFS(G111:J111,$G$14:$J$14,$K$13)</f>
        <v>0</v>
      </c>
      <c r="L111" s="17" t="str">
        <f>SUMIFS(G111:J111,$G$14:$J$14,$L$13)</f>
        <v>0</v>
      </c>
      <c r="M111" s="17"/>
      <c r="N111" s="1"/>
      <c r="O111" s="17"/>
      <c r="P111" s="17" t="str">
        <f>N111+O111</f>
        <v>0</v>
      </c>
      <c r="Q111" s="21"/>
      <c r="R111" s="5"/>
      <c r="S111" s="22" t="str">
        <f>K111+L111</f>
        <v>0</v>
      </c>
      <c r="T111" s="1"/>
      <c r="U111" s="1"/>
      <c r="V111" s="1"/>
      <c r="W111" s="1"/>
      <c r="X111" s="1"/>
      <c r="Y111" s="1"/>
      <c r="Z111" s="1"/>
    </row>
    <row r="112" spans="1:26" customHeight="1" ht="12">
      <c r="A112" s="1"/>
      <c r="B112" s="19"/>
      <c r="C112" s="38" t="s">
        <v>148</v>
      </c>
      <c r="D112" s="19" t="s">
        <v>55</v>
      </c>
      <c r="E112" s="16">
        <v>0</v>
      </c>
      <c r="F112" s="16">
        <v>9590000</v>
      </c>
      <c r="G112" s="17">
        <v>0</v>
      </c>
      <c r="H112" s="17">
        <v>0</v>
      </c>
      <c r="I112" s="17">
        <v>0</v>
      </c>
      <c r="J112" s="17">
        <v>0</v>
      </c>
      <c r="K112" s="17" t="str">
        <f>SUMIFS(G112:J112,$G$14:$J$14,$K$13)</f>
        <v>0</v>
      </c>
      <c r="L112" s="17" t="str">
        <f>SUMIFS(G112:J112,$G$14:$J$14,$L$13)</f>
        <v>0</v>
      </c>
      <c r="M112" s="17"/>
      <c r="N112" s="1"/>
      <c r="O112" s="17"/>
      <c r="P112" s="17" t="str">
        <f>N112+O112</f>
        <v>0</v>
      </c>
      <c r="Q112" s="21"/>
      <c r="R112" s="5"/>
      <c r="S112" s="22" t="str">
        <f>K112+L112</f>
        <v>0</v>
      </c>
      <c r="T112" s="1"/>
      <c r="U112" s="1"/>
      <c r="V112" s="1"/>
      <c r="W112" s="1"/>
      <c r="X112" s="1"/>
      <c r="Y112" s="1"/>
      <c r="Z112" s="1"/>
    </row>
    <row r="113" spans="1:26" customHeight="1" ht="12.75">
      <c r="A113" s="1"/>
      <c r="B113" s="14" t="s">
        <v>149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 t="str">
        <f>N113+O113</f>
        <v>0</v>
      </c>
      <c r="Q113" s="21"/>
      <c r="R113" s="5"/>
      <c r="S113" s="22" t="str">
        <f>K113+L113</f>
        <v>0</v>
      </c>
      <c r="T113" s="1"/>
      <c r="U113" s="18"/>
      <c r="V113" s="18"/>
      <c r="W113" s="18"/>
      <c r="X113" s="18"/>
      <c r="Y113" s="18"/>
      <c r="Z113" s="18"/>
    </row>
    <row r="114" spans="1:26" customHeight="1" ht="12.75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 t="str">
        <f>N114+O114</f>
        <v>0</v>
      </c>
      <c r="Q114" s="21"/>
      <c r="R114" s="5"/>
      <c r="S114" s="22" t="str">
        <f>K114+L114</f>
        <v>0</v>
      </c>
      <c r="T114" s="1"/>
      <c r="U114" s="1"/>
      <c r="V114" s="1"/>
      <c r="W114" s="1"/>
      <c r="X114" s="1"/>
      <c r="Y114" s="1"/>
      <c r="Z114" s="1"/>
    </row>
    <row r="115" spans="1:26" customHeight="1" ht="12.75">
      <c r="A115" s="1"/>
      <c r="B115" s="13">
        <v>2.2</v>
      </c>
      <c r="C115" s="39" t="s">
        <v>150</v>
      </c>
      <c r="D115" s="15"/>
      <c r="E115" s="16"/>
      <c r="F115" s="16"/>
      <c r="G115" s="17">
        <v>0</v>
      </c>
      <c r="H115" s="17">
        <v>0</v>
      </c>
      <c r="I115" s="17">
        <v>0</v>
      </c>
      <c r="J115" s="17">
        <v>0</v>
      </c>
      <c r="K115" s="17"/>
      <c r="L115" s="17"/>
      <c r="M115" s="17"/>
      <c r="N115" s="18"/>
      <c r="O115" s="17"/>
      <c r="P115" s="17" t="str">
        <f>N115+O115</f>
        <v>0</v>
      </c>
      <c r="Q115" s="21"/>
      <c r="R115" s="5"/>
      <c r="S115" s="22" t="str">
        <f>K115+L115</f>
        <v>0</v>
      </c>
      <c r="T115" s="1"/>
      <c r="U115" s="18"/>
      <c r="V115" s="18"/>
      <c r="W115" s="18"/>
      <c r="X115" s="18"/>
      <c r="Y115" s="18"/>
      <c r="Z115" s="18"/>
    </row>
    <row r="116" spans="1:26" customHeight="1" ht="12.75">
      <c r="A116" s="1"/>
      <c r="B116" s="19" t="s">
        <v>36</v>
      </c>
      <c r="C116" s="34" t="s">
        <v>151</v>
      </c>
      <c r="D116" s="15"/>
      <c r="E116" s="16">
        <v>0</v>
      </c>
      <c r="F116" s="16">
        <v>0</v>
      </c>
      <c r="G116" s="17">
        <v>0</v>
      </c>
      <c r="H116" s="17">
        <v>0</v>
      </c>
      <c r="I116" s="17">
        <v>0</v>
      </c>
      <c r="J116" s="17">
        <v>0</v>
      </c>
      <c r="K116" s="17" t="str">
        <f>SUMIFS(G116:J116,$G$14:$J$14,$K$13)</f>
        <v>0</v>
      </c>
      <c r="L116" s="17" t="str">
        <f>SUMIFS(G116:J116,$G$14:$J$14,$L$13)</f>
        <v>0</v>
      </c>
      <c r="M116" s="17"/>
      <c r="N116" s="1"/>
      <c r="O116" s="17"/>
      <c r="P116" s="17" t="str">
        <f>N116+O116</f>
        <v>0</v>
      </c>
      <c r="Q116" s="21"/>
      <c r="R116" s="5"/>
      <c r="S116" s="22" t="str">
        <f>K116+L116</f>
        <v>0</v>
      </c>
      <c r="T116" s="1"/>
      <c r="U116" s="1"/>
      <c r="V116" s="1"/>
      <c r="W116" s="1"/>
      <c r="X116" s="1"/>
      <c r="Y116" s="1"/>
      <c r="Z116" s="1"/>
    </row>
    <row r="117" spans="1:26" customHeight="1" ht="12.75">
      <c r="A117" s="1"/>
      <c r="B117" s="19"/>
      <c r="C117" s="40" t="s">
        <v>152</v>
      </c>
      <c r="D117" s="15" t="s">
        <v>39</v>
      </c>
      <c r="E117" s="16">
        <v>0</v>
      </c>
      <c r="F117" s="16">
        <v>68000</v>
      </c>
      <c r="G117" s="17">
        <v>0</v>
      </c>
      <c r="H117" s="17">
        <v>0</v>
      </c>
      <c r="I117" s="17">
        <v>0</v>
      </c>
      <c r="J117" s="17">
        <v>0</v>
      </c>
      <c r="K117" s="17" t="str">
        <f>SUMIFS(G117:J117,$G$14:$J$14,$K$13)</f>
        <v>0</v>
      </c>
      <c r="L117" s="17" t="str">
        <f>SUMIFS(G117:J117,$G$14:$J$14,$L$13)</f>
        <v>0</v>
      </c>
      <c r="M117" s="17"/>
      <c r="N117" s="1"/>
      <c r="O117" s="17"/>
      <c r="P117" s="17" t="str">
        <f>N117+O117</f>
        <v>0</v>
      </c>
      <c r="Q117" s="21"/>
      <c r="R117" s="5"/>
      <c r="S117" s="22" t="str">
        <f>K117+L117</f>
        <v>0</v>
      </c>
      <c r="T117" s="1"/>
      <c r="U117" s="1"/>
      <c r="V117" s="1"/>
      <c r="W117" s="1"/>
      <c r="X117" s="1"/>
      <c r="Y117" s="1"/>
      <c r="Z117" s="1"/>
    </row>
    <row r="118" spans="1:26" customHeight="1" ht="12.75">
      <c r="A118" s="1"/>
      <c r="B118" s="19"/>
      <c r="C118" s="34" t="s">
        <v>153</v>
      </c>
      <c r="D118" s="15" t="s">
        <v>39</v>
      </c>
      <c r="E118" s="16">
        <v>0</v>
      </c>
      <c r="F118" s="16">
        <v>55500</v>
      </c>
      <c r="G118" s="17">
        <v>0</v>
      </c>
      <c r="H118" s="17">
        <v>0</v>
      </c>
      <c r="I118" s="17">
        <v>0</v>
      </c>
      <c r="J118" s="17">
        <v>0</v>
      </c>
      <c r="K118" s="17" t="str">
        <f>SUMIFS(G118:J118,$G$14:$J$14,$K$13)</f>
        <v>0</v>
      </c>
      <c r="L118" s="17" t="str">
        <f>SUMIFS(G118:J118,$G$14:$J$14,$L$13)</f>
        <v>0</v>
      </c>
      <c r="M118" s="17"/>
      <c r="N118" s="1"/>
      <c r="O118" s="17"/>
      <c r="P118" s="17" t="str">
        <f>N118+O118</f>
        <v>0</v>
      </c>
      <c r="Q118" s="21"/>
      <c r="R118" s="5"/>
      <c r="S118" s="22" t="str">
        <f>K118+L118</f>
        <v>0</v>
      </c>
      <c r="T118" s="1"/>
      <c r="U118" s="1"/>
      <c r="V118" s="1"/>
      <c r="W118" s="1"/>
      <c r="X118" s="1"/>
      <c r="Y118" s="1"/>
      <c r="Z118" s="1"/>
    </row>
    <row r="119" spans="1:26" customHeight="1" ht="12.75">
      <c r="A119" s="1"/>
      <c r="B119" s="19" t="s">
        <v>67</v>
      </c>
      <c r="C119" s="34" t="s">
        <v>154</v>
      </c>
      <c r="D119" s="15"/>
      <c r="E119" s="16">
        <v>0</v>
      </c>
      <c r="F119" s="16">
        <v>0</v>
      </c>
      <c r="G119" s="17">
        <v>0</v>
      </c>
      <c r="H119" s="17">
        <v>0</v>
      </c>
      <c r="I119" s="17">
        <v>0</v>
      </c>
      <c r="J119" s="17">
        <v>0</v>
      </c>
      <c r="K119" s="17" t="str">
        <f>SUMIFS(G119:J119,$G$14:$J$14,$K$13)</f>
        <v>0</v>
      </c>
      <c r="L119" s="17" t="str">
        <f>SUMIFS(G119:J119,$G$14:$J$14,$L$13)</f>
        <v>0</v>
      </c>
      <c r="M119" s="17"/>
      <c r="N119" s="1"/>
      <c r="O119" s="17"/>
      <c r="P119" s="17" t="str">
        <f>N119+O119</f>
        <v>0</v>
      </c>
      <c r="Q119" s="21"/>
      <c r="R119" s="5"/>
      <c r="S119" s="22" t="str">
        <f>K119+L119</f>
        <v>0</v>
      </c>
      <c r="T119" s="1"/>
      <c r="U119" s="1"/>
      <c r="V119" s="1"/>
      <c r="W119" s="1"/>
      <c r="X119" s="1"/>
      <c r="Y119" s="1"/>
      <c r="Z119" s="1"/>
    </row>
    <row r="120" spans="1:26" customHeight="1" ht="12.75">
      <c r="A120" s="1"/>
      <c r="B120" s="19"/>
      <c r="C120" s="34" t="s">
        <v>155</v>
      </c>
      <c r="D120" s="15" t="s">
        <v>39</v>
      </c>
      <c r="E120" s="16">
        <v>0</v>
      </c>
      <c r="F120" s="16">
        <v>65000</v>
      </c>
      <c r="G120" s="17">
        <v>0</v>
      </c>
      <c r="H120" s="17">
        <v>0</v>
      </c>
      <c r="I120" s="17">
        <v>0</v>
      </c>
      <c r="J120" s="17">
        <v>0</v>
      </c>
      <c r="K120" s="17" t="str">
        <f>SUMIFS(G120:J120,$G$14:$J$14,$K$13)</f>
        <v>0</v>
      </c>
      <c r="L120" s="17" t="str">
        <f>SUMIFS(G120:J120,$G$14:$J$14,$L$13)</f>
        <v>0</v>
      </c>
      <c r="M120" s="17"/>
      <c r="N120" s="1"/>
      <c r="O120" s="17"/>
      <c r="P120" s="17" t="str">
        <f>N120+O120</f>
        <v>0</v>
      </c>
      <c r="Q120" s="21"/>
      <c r="R120" s="5"/>
      <c r="S120" s="22" t="str">
        <f>K120+L120</f>
        <v>0</v>
      </c>
      <c r="T120" s="1"/>
      <c r="U120" s="1"/>
      <c r="V120" s="1"/>
      <c r="W120" s="1"/>
      <c r="X120" s="1"/>
      <c r="Y120" s="1"/>
      <c r="Z120" s="1"/>
    </row>
    <row r="121" spans="1:26" customHeight="1" ht="12.75">
      <c r="A121" s="1"/>
      <c r="B121" s="19"/>
      <c r="C121" s="34" t="s">
        <v>156</v>
      </c>
      <c r="D121" s="15" t="s">
        <v>39</v>
      </c>
      <c r="E121" s="16">
        <v>0</v>
      </c>
      <c r="F121" s="16">
        <v>75000</v>
      </c>
      <c r="G121" s="17">
        <v>0</v>
      </c>
      <c r="H121" s="17">
        <v>0</v>
      </c>
      <c r="I121" s="17">
        <v>0</v>
      </c>
      <c r="J121" s="17">
        <v>0</v>
      </c>
      <c r="K121" s="17" t="str">
        <f>SUMIFS(G121:J121,$G$14:$J$14,$K$13)</f>
        <v>0</v>
      </c>
      <c r="L121" s="17" t="str">
        <f>SUMIFS(G121:J121,$G$14:$J$14,$L$13)</f>
        <v>0</v>
      </c>
      <c r="M121" s="17"/>
      <c r="N121" s="1"/>
      <c r="O121" s="17"/>
      <c r="P121" s="17" t="str">
        <f>N121+O121</f>
        <v>0</v>
      </c>
      <c r="Q121" s="21"/>
      <c r="R121" s="5"/>
      <c r="S121" s="22" t="str">
        <f>K121+L121</f>
        <v>0</v>
      </c>
      <c r="T121" s="1"/>
      <c r="U121" s="1"/>
      <c r="V121" s="1"/>
      <c r="W121" s="1"/>
      <c r="X121" s="1"/>
      <c r="Y121" s="1"/>
      <c r="Z121" s="1"/>
    </row>
    <row r="122" spans="1:26" customHeight="1" ht="12.75">
      <c r="A122" s="1"/>
      <c r="B122" s="19"/>
      <c r="C122" s="34" t="s">
        <v>157</v>
      </c>
      <c r="D122" s="15" t="s">
        <v>39</v>
      </c>
      <c r="E122" s="16">
        <v>0</v>
      </c>
      <c r="F122" s="16">
        <v>80000</v>
      </c>
      <c r="G122" s="17">
        <v>0</v>
      </c>
      <c r="H122" s="17">
        <v>0</v>
      </c>
      <c r="I122" s="17">
        <v>0</v>
      </c>
      <c r="J122" s="17">
        <v>0</v>
      </c>
      <c r="K122" s="17" t="str">
        <f>SUMIFS(G122:J122,$G$14:$J$14,$K$13)</f>
        <v>0</v>
      </c>
      <c r="L122" s="17" t="str">
        <f>SUMIFS(G122:J122,$G$14:$J$14,$L$13)</f>
        <v>0</v>
      </c>
      <c r="M122" s="17"/>
      <c r="N122" s="1"/>
      <c r="O122" s="17"/>
      <c r="P122" s="17" t="str">
        <f>N122+O122</f>
        <v>0</v>
      </c>
      <c r="Q122" s="21"/>
      <c r="R122" s="5"/>
      <c r="S122" s="22" t="str">
        <f>K122+L122</f>
        <v>0</v>
      </c>
      <c r="T122" s="1"/>
      <c r="U122" s="1"/>
      <c r="V122" s="1"/>
      <c r="W122" s="1"/>
      <c r="X122" s="1"/>
      <c r="Y122" s="1"/>
      <c r="Z122" s="1"/>
    </row>
    <row r="123" spans="1:26" customHeight="1" ht="12.75">
      <c r="A123" s="1"/>
      <c r="B123" s="19"/>
      <c r="C123" s="34" t="s">
        <v>158</v>
      </c>
      <c r="D123" s="15" t="s">
        <v>39</v>
      </c>
      <c r="E123" s="16">
        <v>0</v>
      </c>
      <c r="F123" s="16">
        <v>100000</v>
      </c>
      <c r="G123" s="17">
        <v>0</v>
      </c>
      <c r="H123" s="17">
        <v>0</v>
      </c>
      <c r="I123" s="17">
        <v>0</v>
      </c>
      <c r="J123" s="17">
        <v>0</v>
      </c>
      <c r="K123" s="17" t="str">
        <f>SUMIFS(G123:J123,$G$14:$J$14,$K$13)</f>
        <v>0</v>
      </c>
      <c r="L123" s="17" t="str">
        <f>SUMIFS(G123:J123,$G$14:$J$14,$L$13)</f>
        <v>0</v>
      </c>
      <c r="M123" s="17"/>
      <c r="N123" s="1"/>
      <c r="O123" s="17"/>
      <c r="P123" s="17" t="str">
        <f>N123+O123</f>
        <v>0</v>
      </c>
      <c r="Q123" s="21"/>
      <c r="R123" s="5"/>
      <c r="S123" s="22" t="str">
        <f>K123+L123</f>
        <v>0</v>
      </c>
      <c r="T123" s="1"/>
      <c r="U123" s="1"/>
      <c r="V123" s="1"/>
      <c r="W123" s="1"/>
      <c r="X123" s="1"/>
      <c r="Y123" s="1"/>
      <c r="Z123" s="1"/>
    </row>
    <row r="124" spans="1:26" customHeight="1" ht="12.75">
      <c r="A124" s="1"/>
      <c r="B124" s="19"/>
      <c r="C124" s="34" t="s">
        <v>159</v>
      </c>
      <c r="D124" s="15" t="s">
        <v>39</v>
      </c>
      <c r="E124" s="16">
        <v>0</v>
      </c>
      <c r="F124" s="16">
        <v>110000</v>
      </c>
      <c r="G124" s="17">
        <v>0</v>
      </c>
      <c r="H124" s="17">
        <v>0</v>
      </c>
      <c r="I124" s="17">
        <v>0</v>
      </c>
      <c r="J124" s="17">
        <v>0</v>
      </c>
      <c r="K124" s="17" t="str">
        <f>SUMIFS(G124:J124,$G$14:$J$14,$K$13)</f>
        <v>0</v>
      </c>
      <c r="L124" s="17" t="str">
        <f>SUMIFS(G124:J124,$G$14:$J$14,$L$13)</f>
        <v>0</v>
      </c>
      <c r="M124" s="17"/>
      <c r="N124" s="1"/>
      <c r="O124" s="17"/>
      <c r="P124" s="17" t="str">
        <f>N124+O124</f>
        <v>0</v>
      </c>
      <c r="Q124" s="21"/>
      <c r="R124" s="5"/>
      <c r="S124" s="22" t="str">
        <f>K124+L124</f>
        <v>0</v>
      </c>
      <c r="T124" s="1"/>
      <c r="U124" s="1"/>
      <c r="V124" s="1"/>
      <c r="W124" s="1"/>
      <c r="X124" s="1"/>
      <c r="Y124" s="1"/>
      <c r="Z124" s="1"/>
    </row>
    <row r="125" spans="1:26" customHeight="1" ht="12.75">
      <c r="A125" s="1"/>
      <c r="B125" s="19"/>
      <c r="C125" s="34" t="s">
        <v>160</v>
      </c>
      <c r="D125" s="15" t="s">
        <v>39</v>
      </c>
      <c r="E125" s="16">
        <v>0</v>
      </c>
      <c r="F125" s="16">
        <v>390000</v>
      </c>
      <c r="G125" s="17">
        <v>0</v>
      </c>
      <c r="H125" s="17">
        <v>0</v>
      </c>
      <c r="I125" s="17">
        <v>0</v>
      </c>
      <c r="J125" s="17">
        <v>0</v>
      </c>
      <c r="K125" s="17" t="str">
        <f>SUMIFS(G125:J125,$G$14:$J$14,$K$13)</f>
        <v>0</v>
      </c>
      <c r="L125" s="17" t="str">
        <f>SUMIFS(G125:J125,$G$14:$J$14,$L$13)</f>
        <v>0</v>
      </c>
      <c r="M125" s="17"/>
      <c r="N125" s="1"/>
      <c r="O125" s="17"/>
      <c r="P125" s="17" t="str">
        <f>N125+O125</f>
        <v>0</v>
      </c>
      <c r="Q125" s="21"/>
      <c r="R125" s="5"/>
      <c r="S125" s="22" t="str">
        <f>K125+L125</f>
        <v>0</v>
      </c>
      <c r="T125" s="1"/>
      <c r="U125" s="1"/>
      <c r="V125" s="1"/>
      <c r="W125" s="1"/>
      <c r="X125" s="1"/>
      <c r="Y125" s="1"/>
      <c r="Z125" s="1"/>
    </row>
    <row r="126" spans="1:26" customHeight="1" ht="12.75">
      <c r="A126" s="1"/>
      <c r="B126" s="19"/>
      <c r="C126" s="34" t="s">
        <v>161</v>
      </c>
      <c r="D126" s="15" t="s">
        <v>162</v>
      </c>
      <c r="E126" s="16">
        <v>0</v>
      </c>
      <c r="F126" s="16">
        <v>325000</v>
      </c>
      <c r="G126" s="17">
        <v>0</v>
      </c>
      <c r="H126" s="17">
        <v>0</v>
      </c>
      <c r="I126" s="17">
        <v>0</v>
      </c>
      <c r="J126" s="17">
        <v>0</v>
      </c>
      <c r="K126" s="17" t="str">
        <f>SUMIFS(G126:J126,$G$14:$J$14,$K$13)</f>
        <v>0</v>
      </c>
      <c r="L126" s="17" t="str">
        <f>SUMIFS(G126:J126,$G$14:$J$14,$L$13)</f>
        <v>0</v>
      </c>
      <c r="M126" s="17"/>
      <c r="N126" s="1"/>
      <c r="O126" s="17"/>
      <c r="P126" s="17" t="str">
        <f>N126+O126</f>
        <v>0</v>
      </c>
      <c r="Q126" s="21"/>
      <c r="R126" s="5"/>
      <c r="S126" s="22" t="str">
        <f>K126+L126</f>
        <v>0</v>
      </c>
      <c r="T126" s="1"/>
      <c r="U126" s="1"/>
      <c r="V126" s="1"/>
      <c r="W126" s="1"/>
      <c r="X126" s="1"/>
      <c r="Y126" s="1"/>
      <c r="Z126" s="1"/>
    </row>
    <row r="127" spans="1:26" customHeight="1" ht="12.75">
      <c r="A127" s="1"/>
      <c r="B127" s="19"/>
      <c r="C127" s="34" t="s">
        <v>163</v>
      </c>
      <c r="D127" s="15" t="s">
        <v>39</v>
      </c>
      <c r="E127" s="16">
        <v>0</v>
      </c>
      <c r="F127" s="16">
        <v>0</v>
      </c>
      <c r="G127" s="17">
        <v>0</v>
      </c>
      <c r="H127" s="17">
        <v>0</v>
      </c>
      <c r="I127" s="17">
        <v>0</v>
      </c>
      <c r="J127" s="17">
        <v>0</v>
      </c>
      <c r="K127" s="17" t="str">
        <f>SUMIFS(G127:J127,$G$14:$J$14,$K$13)</f>
        <v>0</v>
      </c>
      <c r="L127" s="17" t="str">
        <f>SUMIFS(G127:J127,$G$14:$J$14,$L$13)</f>
        <v>0</v>
      </c>
      <c r="M127" s="17"/>
      <c r="N127" s="1"/>
      <c r="O127" s="17"/>
      <c r="P127" s="17" t="str">
        <f>N127+O127</f>
        <v>0</v>
      </c>
      <c r="Q127" s="21"/>
      <c r="R127" s="5"/>
      <c r="S127" s="22" t="str">
        <f>K127+L127</f>
        <v>0</v>
      </c>
      <c r="T127" s="1"/>
      <c r="U127" s="1"/>
      <c r="V127" s="1"/>
      <c r="W127" s="1"/>
      <c r="X127" s="1"/>
      <c r="Y127" s="1"/>
      <c r="Z127" s="1"/>
    </row>
    <row r="128" spans="1:26" customHeight="1" ht="12.75">
      <c r="A128" s="1"/>
      <c r="B128" s="19"/>
      <c r="C128" s="34" t="s">
        <v>164</v>
      </c>
      <c r="D128" s="15" t="s">
        <v>39</v>
      </c>
      <c r="E128" s="16">
        <v>0</v>
      </c>
      <c r="F128" s="16">
        <v>0</v>
      </c>
      <c r="G128" s="17">
        <v>0</v>
      </c>
      <c r="H128" s="17">
        <v>0</v>
      </c>
      <c r="I128" s="17">
        <v>0</v>
      </c>
      <c r="J128" s="17">
        <v>0</v>
      </c>
      <c r="K128" s="17" t="str">
        <f>SUMIFS(G128:J128,$G$14:$J$14,$K$13)</f>
        <v>0</v>
      </c>
      <c r="L128" s="17" t="str">
        <f>SUMIFS(G128:J128,$G$14:$J$14,$L$13)</f>
        <v>0</v>
      </c>
      <c r="M128" s="17"/>
      <c r="N128" s="1"/>
      <c r="O128" s="17"/>
      <c r="P128" s="17" t="str">
        <f>N128+O128</f>
        <v>0</v>
      </c>
      <c r="Q128" s="21"/>
      <c r="R128" s="5"/>
      <c r="S128" s="22" t="str">
        <f>K128+L128</f>
        <v>0</v>
      </c>
      <c r="T128" s="1"/>
      <c r="U128" s="1"/>
      <c r="V128" s="1"/>
      <c r="W128" s="1"/>
      <c r="X128" s="1"/>
      <c r="Y128" s="1"/>
      <c r="Z128" s="1"/>
    </row>
    <row r="129" spans="1:26" customHeight="1" ht="12.75">
      <c r="A129" s="1"/>
      <c r="B129" s="19"/>
      <c r="C129" s="34" t="s">
        <v>165</v>
      </c>
      <c r="D129" s="15" t="s">
        <v>39</v>
      </c>
      <c r="E129" s="16">
        <v>0</v>
      </c>
      <c r="F129" s="16">
        <v>0</v>
      </c>
      <c r="G129" s="17">
        <v>0</v>
      </c>
      <c r="H129" s="17">
        <v>0</v>
      </c>
      <c r="I129" s="17">
        <v>0</v>
      </c>
      <c r="J129" s="17">
        <v>0</v>
      </c>
      <c r="K129" s="17" t="str">
        <f>SUMIFS(G129:J129,$G$14:$J$14,$K$13)</f>
        <v>0</v>
      </c>
      <c r="L129" s="17" t="str">
        <f>SUMIFS(G129:J129,$G$14:$J$14,$L$13)</f>
        <v>0</v>
      </c>
      <c r="M129" s="17"/>
      <c r="N129" s="1"/>
      <c r="O129" s="17"/>
      <c r="P129" s="17" t="str">
        <f>N129+O129</f>
        <v>0</v>
      </c>
      <c r="Q129" s="21"/>
      <c r="R129" s="5"/>
      <c r="S129" s="22" t="str">
        <f>K129+L129</f>
        <v>0</v>
      </c>
      <c r="T129" s="1"/>
      <c r="U129" s="1"/>
      <c r="V129" s="1"/>
      <c r="W129" s="1"/>
      <c r="X129" s="1"/>
      <c r="Y129" s="1"/>
      <c r="Z129" s="1"/>
    </row>
    <row r="130" spans="1:26" customHeight="1" ht="12.75">
      <c r="A130" s="1"/>
      <c r="B130" s="19"/>
      <c r="C130" s="34" t="s">
        <v>166</v>
      </c>
      <c r="D130" s="15" t="s">
        <v>39</v>
      </c>
      <c r="E130" s="16">
        <v>0</v>
      </c>
      <c r="F130" s="16">
        <v>0</v>
      </c>
      <c r="G130" s="17">
        <v>0</v>
      </c>
      <c r="H130" s="17">
        <v>0</v>
      </c>
      <c r="I130" s="17">
        <v>0</v>
      </c>
      <c r="J130" s="17">
        <v>0</v>
      </c>
      <c r="K130" s="17" t="str">
        <f>SUMIFS(G130:J130,$G$14:$J$14,$K$13)</f>
        <v>0</v>
      </c>
      <c r="L130" s="17" t="str">
        <f>SUMIFS(G130:J130,$G$14:$J$14,$L$13)</f>
        <v>0</v>
      </c>
      <c r="M130" s="17"/>
      <c r="N130" s="1"/>
      <c r="O130" s="17"/>
      <c r="P130" s="17" t="str">
        <f>N130+O130</f>
        <v>0</v>
      </c>
      <c r="Q130" s="21"/>
      <c r="R130" s="5"/>
      <c r="S130" s="22" t="str">
        <f>K130+L130</f>
        <v>0</v>
      </c>
      <c r="T130" s="1"/>
      <c r="U130" s="1"/>
      <c r="V130" s="1"/>
      <c r="W130" s="1"/>
      <c r="X130" s="1"/>
      <c r="Y130" s="1"/>
      <c r="Z130" s="1"/>
    </row>
    <row r="131" spans="1:26" customHeight="1" ht="12.75">
      <c r="A131" s="1"/>
      <c r="B131" s="19"/>
      <c r="C131" s="34" t="s">
        <v>167</v>
      </c>
      <c r="D131" s="15" t="s">
        <v>39</v>
      </c>
      <c r="E131" s="16">
        <v>0</v>
      </c>
      <c r="F131" s="16">
        <v>0</v>
      </c>
      <c r="G131" s="17">
        <v>0</v>
      </c>
      <c r="H131" s="17">
        <v>0</v>
      </c>
      <c r="I131" s="17">
        <v>0</v>
      </c>
      <c r="J131" s="17">
        <v>0</v>
      </c>
      <c r="K131" s="17" t="str">
        <f>SUMIFS(G131:J131,$G$14:$J$14,$K$13)</f>
        <v>0</v>
      </c>
      <c r="L131" s="17" t="str">
        <f>SUMIFS(G131:J131,$G$14:$J$14,$L$13)</f>
        <v>0</v>
      </c>
      <c r="M131" s="17"/>
      <c r="N131" s="1"/>
      <c r="O131" s="17"/>
      <c r="P131" s="17" t="str">
        <f>N131+O131</f>
        <v>0</v>
      </c>
      <c r="Q131" s="21"/>
      <c r="R131" s="5"/>
      <c r="S131" s="22" t="str">
        <f>K131+L131</f>
        <v>0</v>
      </c>
      <c r="T131" s="1"/>
      <c r="U131" s="1"/>
      <c r="V131" s="1"/>
      <c r="W131" s="1"/>
      <c r="X131" s="1"/>
      <c r="Y131" s="1"/>
      <c r="Z131" s="1"/>
    </row>
    <row r="132" spans="1:26" customHeight="1" ht="12.75">
      <c r="A132" s="1"/>
      <c r="B132" s="19"/>
      <c r="C132" s="34" t="s">
        <v>168</v>
      </c>
      <c r="D132" s="15" t="s">
        <v>39</v>
      </c>
      <c r="E132" s="16">
        <v>0</v>
      </c>
      <c r="F132" s="16">
        <v>0</v>
      </c>
      <c r="G132" s="17">
        <v>0</v>
      </c>
      <c r="H132" s="17">
        <v>0</v>
      </c>
      <c r="I132" s="17">
        <v>0</v>
      </c>
      <c r="J132" s="17">
        <v>0</v>
      </c>
      <c r="K132" s="17" t="str">
        <f>SUMIFS(G132:J132,$G$14:$J$14,$K$13)</f>
        <v>0</v>
      </c>
      <c r="L132" s="17" t="str">
        <f>SUMIFS(G132:J132,$G$14:$J$14,$L$13)</f>
        <v>0</v>
      </c>
      <c r="M132" s="17"/>
      <c r="N132" s="1"/>
      <c r="O132" s="17"/>
      <c r="P132" s="17" t="str">
        <f>N132+O132</f>
        <v>0</v>
      </c>
      <c r="Q132" s="21"/>
      <c r="R132" s="1"/>
      <c r="S132" s="22" t="str">
        <f>K132+L132</f>
        <v>0</v>
      </c>
      <c r="T132" s="1"/>
      <c r="U132" s="1"/>
      <c r="V132" s="1"/>
      <c r="W132" s="1"/>
      <c r="X132" s="1"/>
      <c r="Y132" s="1"/>
      <c r="Z132" s="1"/>
    </row>
    <row r="133" spans="1:26" customHeight="1" ht="12.75">
      <c r="A133" s="1"/>
      <c r="B133" s="19"/>
      <c r="C133" s="34" t="s">
        <v>169</v>
      </c>
      <c r="D133" s="15" t="s">
        <v>39</v>
      </c>
      <c r="E133" s="16">
        <v>0</v>
      </c>
      <c r="F133" s="16">
        <v>0</v>
      </c>
      <c r="G133" s="17">
        <v>0</v>
      </c>
      <c r="H133" s="17">
        <v>0</v>
      </c>
      <c r="I133" s="17">
        <v>0</v>
      </c>
      <c r="J133" s="17">
        <v>0</v>
      </c>
      <c r="K133" s="17" t="str">
        <f>SUMIFS(G133:J133,$G$14:$J$14,$K$13)</f>
        <v>0</v>
      </c>
      <c r="L133" s="17" t="str">
        <f>SUMIFS(G133:J133,$G$14:$J$14,$L$13)</f>
        <v>0</v>
      </c>
      <c r="M133" s="17"/>
      <c r="N133" s="1"/>
      <c r="O133" s="17"/>
      <c r="P133" s="17" t="str">
        <f>N133+O133</f>
        <v>0</v>
      </c>
      <c r="Q133" s="21"/>
      <c r="R133" s="1"/>
      <c r="S133" s="22" t="str">
        <f>K133+L133</f>
        <v>0</v>
      </c>
      <c r="T133" s="1"/>
      <c r="U133" s="1"/>
      <c r="V133" s="1"/>
      <c r="W133" s="1"/>
      <c r="X133" s="1"/>
      <c r="Y133" s="1"/>
      <c r="Z133" s="1"/>
    </row>
    <row r="134" spans="1:26" customHeight="1" ht="12.75">
      <c r="A134" s="1"/>
      <c r="B134" s="19"/>
      <c r="C134" s="34" t="s">
        <v>170</v>
      </c>
      <c r="D134" s="15" t="s">
        <v>39</v>
      </c>
      <c r="E134" s="16">
        <v>0</v>
      </c>
      <c r="F134" s="16">
        <v>0</v>
      </c>
      <c r="G134" s="17">
        <v>0</v>
      </c>
      <c r="H134" s="17">
        <v>0</v>
      </c>
      <c r="I134" s="17">
        <v>0</v>
      </c>
      <c r="J134" s="17">
        <v>0</v>
      </c>
      <c r="K134" s="17" t="str">
        <f>SUMIFS(G134:J134,$G$14:$J$14,$K$13)</f>
        <v>0</v>
      </c>
      <c r="L134" s="17" t="str">
        <f>SUMIFS(G134:J134,$G$14:$J$14,$L$13)</f>
        <v>0</v>
      </c>
      <c r="M134" s="17"/>
      <c r="N134" s="1"/>
      <c r="O134" s="17"/>
      <c r="P134" s="17" t="str">
        <f>N134+O134</f>
        <v>0</v>
      </c>
      <c r="Q134" s="21"/>
      <c r="R134" s="1"/>
      <c r="S134" s="22" t="str">
        <f>K134+L134</f>
        <v>0</v>
      </c>
      <c r="T134" s="1"/>
      <c r="U134" s="1"/>
      <c r="V134" s="1"/>
      <c r="W134" s="1"/>
      <c r="X134" s="1"/>
      <c r="Y134" s="1"/>
      <c r="Z134" s="1"/>
    </row>
    <row r="135" spans="1:26" customHeight="1" ht="12.75">
      <c r="A135" s="1"/>
      <c r="B135" s="19"/>
      <c r="C135" s="34" t="s">
        <v>171</v>
      </c>
      <c r="D135" s="15" t="s">
        <v>39</v>
      </c>
      <c r="E135" s="16">
        <v>0</v>
      </c>
      <c r="F135" s="16">
        <v>0</v>
      </c>
      <c r="G135" s="17">
        <v>0</v>
      </c>
      <c r="H135" s="17">
        <v>0</v>
      </c>
      <c r="I135" s="17">
        <v>0</v>
      </c>
      <c r="J135" s="17">
        <v>0</v>
      </c>
      <c r="K135" s="17" t="str">
        <f>SUMIFS(G135:J135,$G$14:$J$14,$K$13)</f>
        <v>0</v>
      </c>
      <c r="L135" s="17" t="str">
        <f>SUMIFS(G135:J135,$G$14:$J$14,$L$13)</f>
        <v>0</v>
      </c>
      <c r="M135" s="17"/>
      <c r="N135" s="1"/>
      <c r="O135" s="17"/>
      <c r="P135" s="17" t="str">
        <f>N135+O135</f>
        <v>0</v>
      </c>
      <c r="Q135" s="21"/>
      <c r="R135" s="1"/>
      <c r="S135" s="22" t="str">
        <f>K135+L135</f>
        <v>0</v>
      </c>
      <c r="T135" s="1"/>
      <c r="U135" s="1"/>
      <c r="V135" s="1"/>
      <c r="W135" s="1"/>
      <c r="X135" s="1"/>
      <c r="Y135" s="1"/>
      <c r="Z135" s="1"/>
    </row>
    <row r="136" spans="1:26" customHeight="1" ht="12.75">
      <c r="A136" s="1"/>
      <c r="B136" s="19"/>
      <c r="C136" s="34" t="s">
        <v>172</v>
      </c>
      <c r="D136" s="15" t="s">
        <v>39</v>
      </c>
      <c r="E136" s="16">
        <v>0</v>
      </c>
      <c r="F136" s="16">
        <v>0</v>
      </c>
      <c r="G136" s="17">
        <v>0</v>
      </c>
      <c r="H136" s="17">
        <v>0</v>
      </c>
      <c r="I136" s="17">
        <v>0</v>
      </c>
      <c r="J136" s="17">
        <v>0</v>
      </c>
      <c r="K136" s="17" t="str">
        <f>SUMIFS(G136:J136,$G$14:$J$14,$K$13)</f>
        <v>0</v>
      </c>
      <c r="L136" s="17" t="str">
        <f>SUMIFS(G136:J136,$G$14:$J$14,$L$13)</f>
        <v>0</v>
      </c>
      <c r="M136" s="17"/>
      <c r="N136" s="1"/>
      <c r="O136" s="17"/>
      <c r="P136" s="17" t="str">
        <f>N136+O136</f>
        <v>0</v>
      </c>
      <c r="Q136" s="21"/>
      <c r="R136" s="1"/>
      <c r="S136" s="22" t="str">
        <f>K136+L136</f>
        <v>0</v>
      </c>
      <c r="T136" s="1"/>
      <c r="U136" s="1"/>
      <c r="V136" s="1"/>
      <c r="W136" s="1"/>
      <c r="X136" s="1"/>
      <c r="Y136" s="1"/>
      <c r="Z136" s="1"/>
    </row>
    <row r="137" spans="1:26" customHeight="1" ht="12.75">
      <c r="A137" s="1"/>
      <c r="B137" s="19"/>
      <c r="C137" s="34" t="s">
        <v>173</v>
      </c>
      <c r="D137" s="15" t="s">
        <v>174</v>
      </c>
      <c r="E137" s="16">
        <v>0</v>
      </c>
      <c r="F137" s="16">
        <v>0</v>
      </c>
      <c r="G137" s="17">
        <v>0</v>
      </c>
      <c r="H137" s="17">
        <v>0</v>
      </c>
      <c r="I137" s="17">
        <v>0</v>
      </c>
      <c r="J137" s="17">
        <v>0</v>
      </c>
      <c r="K137" s="17" t="str">
        <f>SUMIFS(G137:J137,$G$14:$J$14,$K$13)</f>
        <v>0</v>
      </c>
      <c r="L137" s="17" t="str">
        <f>SUMIFS(G137:J137,$G$14:$J$14,$L$13)</f>
        <v>0</v>
      </c>
      <c r="M137" s="17"/>
      <c r="N137" s="1"/>
      <c r="O137" s="17"/>
      <c r="P137" s="17" t="str">
        <f>N137+O137</f>
        <v>0</v>
      </c>
      <c r="Q137" s="21"/>
      <c r="R137" s="1"/>
      <c r="S137" s="22" t="str">
        <f>K137+L137</f>
        <v>0</v>
      </c>
      <c r="T137" s="1"/>
      <c r="U137" s="1"/>
      <c r="V137" s="1"/>
      <c r="W137" s="1"/>
      <c r="X137" s="1"/>
      <c r="Y137" s="1"/>
      <c r="Z137" s="1"/>
    </row>
    <row r="138" spans="1:26" customHeight="1" ht="12.75">
      <c r="A138" s="1"/>
      <c r="B138" s="19"/>
      <c r="C138" s="34" t="s">
        <v>175</v>
      </c>
      <c r="D138" s="15" t="s">
        <v>39</v>
      </c>
      <c r="E138" s="16">
        <v>0</v>
      </c>
      <c r="F138" s="16">
        <v>0</v>
      </c>
      <c r="G138" s="17">
        <v>0</v>
      </c>
      <c r="H138" s="17">
        <v>0</v>
      </c>
      <c r="I138" s="17">
        <v>0</v>
      </c>
      <c r="J138" s="17">
        <v>0</v>
      </c>
      <c r="K138" s="17" t="str">
        <f>SUMIFS(G138:J138,$G$14:$J$14,$K$13)</f>
        <v>0</v>
      </c>
      <c r="L138" s="17" t="str">
        <f>SUMIFS(G138:J138,$G$14:$J$14,$L$13)</f>
        <v>0</v>
      </c>
      <c r="M138" s="17"/>
      <c r="N138" s="1"/>
      <c r="O138" s="17"/>
      <c r="P138" s="17" t="str">
        <f>N138+O138</f>
        <v>0</v>
      </c>
      <c r="Q138" s="21"/>
      <c r="R138" s="1"/>
      <c r="S138" s="22" t="str">
        <f>K138+L138</f>
        <v>0</v>
      </c>
      <c r="T138" s="1"/>
      <c r="U138" s="1"/>
      <c r="V138" s="1"/>
      <c r="W138" s="1"/>
      <c r="X138" s="1"/>
      <c r="Y138" s="1"/>
      <c r="Z138" s="1"/>
    </row>
    <row r="139" spans="1:26" customHeight="1" ht="12.75">
      <c r="A139" s="1"/>
      <c r="B139" s="19"/>
      <c r="C139" s="34" t="s">
        <v>176</v>
      </c>
      <c r="D139" s="15" t="s">
        <v>39</v>
      </c>
      <c r="E139" s="16">
        <v>0</v>
      </c>
      <c r="F139" s="16">
        <v>0</v>
      </c>
      <c r="G139" s="17">
        <v>0</v>
      </c>
      <c r="H139" s="17">
        <v>0</v>
      </c>
      <c r="I139" s="17">
        <v>0</v>
      </c>
      <c r="J139" s="17">
        <v>0</v>
      </c>
      <c r="K139" s="17" t="str">
        <f>SUMIFS(G139:J139,$G$14:$J$14,$K$13)</f>
        <v>0</v>
      </c>
      <c r="L139" s="17" t="str">
        <f>SUMIFS(G139:J139,$G$14:$J$14,$L$13)</f>
        <v>0</v>
      </c>
      <c r="M139" s="17"/>
      <c r="N139" s="1"/>
      <c r="O139" s="17"/>
      <c r="P139" s="17" t="str">
        <f>N139+O139</f>
        <v>0</v>
      </c>
      <c r="Q139" s="21"/>
      <c r="R139" s="1"/>
      <c r="S139" s="22" t="str">
        <f>K139+L139</f>
        <v>0</v>
      </c>
      <c r="T139" s="1"/>
      <c r="U139" s="1"/>
      <c r="V139" s="1"/>
      <c r="W139" s="1"/>
      <c r="X139" s="1"/>
      <c r="Y139" s="1"/>
      <c r="Z139" s="1"/>
    </row>
    <row r="140" spans="1:26" customHeight="1" ht="12.75">
      <c r="A140" s="1"/>
      <c r="B140" s="19"/>
      <c r="C140" s="21" t="s">
        <v>177</v>
      </c>
      <c r="D140" s="15" t="s">
        <v>125</v>
      </c>
      <c r="E140" s="16">
        <v>0</v>
      </c>
      <c r="F140" s="16">
        <v>0</v>
      </c>
      <c r="G140" s="17">
        <v>0</v>
      </c>
      <c r="H140" s="17">
        <v>0</v>
      </c>
      <c r="I140" s="17">
        <v>0</v>
      </c>
      <c r="J140" s="17">
        <v>0</v>
      </c>
      <c r="K140" s="17" t="str">
        <f>SUMIFS(G140:J140,$G$14:$J$14,$K$13)</f>
        <v>0</v>
      </c>
      <c r="L140" s="17" t="str">
        <f>SUMIFS(G140:J140,$G$14:$J$14,$L$13)</f>
        <v>0</v>
      </c>
      <c r="M140" s="17"/>
      <c r="N140" s="1"/>
      <c r="O140" s="17"/>
      <c r="P140" s="17" t="str">
        <f>N140+O140</f>
        <v>0</v>
      </c>
      <c r="Q140" s="21"/>
      <c r="R140" s="1"/>
      <c r="S140" s="22" t="str">
        <f>K140+L140</f>
        <v>0</v>
      </c>
      <c r="T140" s="1"/>
      <c r="U140" s="1"/>
      <c r="V140" s="1"/>
      <c r="W140" s="1"/>
      <c r="X140" s="1"/>
      <c r="Y140" s="1"/>
      <c r="Z140" s="1"/>
    </row>
    <row r="141" spans="1:26" customHeight="1" ht="12.75">
      <c r="A141" s="1"/>
      <c r="B141" s="19" t="s">
        <v>84</v>
      </c>
      <c r="C141" s="21" t="s">
        <v>178</v>
      </c>
      <c r="D141" s="15"/>
      <c r="E141" s="16">
        <v>0</v>
      </c>
      <c r="F141" s="16">
        <v>0</v>
      </c>
      <c r="G141" s="17">
        <v>0</v>
      </c>
      <c r="H141" s="17">
        <v>0</v>
      </c>
      <c r="I141" s="17">
        <v>0</v>
      </c>
      <c r="J141" s="17">
        <v>0</v>
      </c>
      <c r="K141" s="17" t="str">
        <f>SUMIFS(G141:J141,$G$14:$J$14,$K$13)</f>
        <v>0</v>
      </c>
      <c r="L141" s="17" t="str">
        <f>SUMIFS(G141:J141,$G$14:$J$14,$L$13)</f>
        <v>0</v>
      </c>
      <c r="M141" s="17"/>
      <c r="N141" s="1"/>
      <c r="O141" s="17"/>
      <c r="P141" s="17" t="str">
        <f>N141+O141</f>
        <v>0</v>
      </c>
      <c r="Q141" s="21"/>
      <c r="R141" s="1"/>
      <c r="S141" s="22" t="str">
        <f>K141+L141</f>
        <v>0</v>
      </c>
      <c r="T141" s="1"/>
      <c r="U141" s="1"/>
      <c r="V141" s="1"/>
      <c r="W141" s="1"/>
      <c r="X141" s="1"/>
      <c r="Y141" s="1"/>
      <c r="Z141" s="1"/>
    </row>
    <row r="142" spans="1:26" customHeight="1" ht="12.75">
      <c r="A142" s="1"/>
      <c r="B142" s="19"/>
      <c r="C142" s="21" t="s">
        <v>179</v>
      </c>
      <c r="D142" s="15" t="s">
        <v>39</v>
      </c>
      <c r="E142" s="16">
        <v>0</v>
      </c>
      <c r="F142" s="16">
        <v>0</v>
      </c>
      <c r="G142" s="17">
        <v>0</v>
      </c>
      <c r="H142" s="17">
        <v>0</v>
      </c>
      <c r="I142" s="17">
        <v>0</v>
      </c>
      <c r="J142" s="17">
        <v>0</v>
      </c>
      <c r="K142" s="17" t="str">
        <f>SUMIFS(G142:J142,$G$14:$J$14,$K$13)</f>
        <v>0</v>
      </c>
      <c r="L142" s="17" t="str">
        <f>SUMIFS(G142:J142,$G$14:$J$14,$L$13)</f>
        <v>0</v>
      </c>
      <c r="M142" s="17"/>
      <c r="N142" s="1"/>
      <c r="O142" s="17"/>
      <c r="P142" s="17" t="str">
        <f>N142+O142</f>
        <v>0</v>
      </c>
      <c r="Q142" s="21"/>
      <c r="R142" s="1"/>
      <c r="S142" s="22" t="str">
        <f>K142+L142</f>
        <v>0</v>
      </c>
      <c r="T142" s="1"/>
      <c r="U142" s="1"/>
      <c r="V142" s="1"/>
      <c r="W142" s="1"/>
      <c r="X142" s="1"/>
      <c r="Y142" s="1"/>
      <c r="Z142" s="1"/>
    </row>
    <row r="143" spans="1:26" customHeight="1" ht="12.75">
      <c r="A143" s="1"/>
      <c r="B143" s="19"/>
      <c r="C143" s="21" t="s">
        <v>180</v>
      </c>
      <c r="D143" s="15" t="s">
        <v>39</v>
      </c>
      <c r="E143" s="16">
        <v>0</v>
      </c>
      <c r="F143" s="16">
        <v>2000</v>
      </c>
      <c r="G143" s="17">
        <v>0</v>
      </c>
      <c r="H143" s="17">
        <v>0</v>
      </c>
      <c r="I143" s="17">
        <v>0</v>
      </c>
      <c r="J143" s="17">
        <v>0</v>
      </c>
      <c r="K143" s="17" t="str">
        <f>SUMIFS(G143:J143,$G$14:$J$14,$K$13)</f>
        <v>0</v>
      </c>
      <c r="L143" s="17" t="str">
        <f>SUMIFS(G143:J143,$G$14:$J$14,$L$13)</f>
        <v>0</v>
      </c>
      <c r="M143" s="17"/>
      <c r="N143" s="1"/>
      <c r="O143" s="17"/>
      <c r="P143" s="17" t="str">
        <f>N143+O143</f>
        <v>0</v>
      </c>
      <c r="Q143" s="21"/>
      <c r="R143" s="1"/>
      <c r="S143" s="22" t="str">
        <f>K143+L143</f>
        <v>0</v>
      </c>
      <c r="T143" s="1"/>
      <c r="U143" s="1"/>
      <c r="V143" s="1"/>
      <c r="W143" s="1"/>
      <c r="X143" s="1"/>
      <c r="Y143" s="1"/>
      <c r="Z143" s="1"/>
    </row>
    <row r="144" spans="1:26" customHeight="1" ht="12.75">
      <c r="A144" s="1"/>
      <c r="B144" s="19"/>
      <c r="C144" s="21" t="s">
        <v>181</v>
      </c>
      <c r="D144" s="15" t="s">
        <v>125</v>
      </c>
      <c r="E144" s="16">
        <v>7000</v>
      </c>
      <c r="F144" s="16">
        <v>0</v>
      </c>
      <c r="G144" s="17">
        <v>0</v>
      </c>
      <c r="H144" s="17">
        <v>0</v>
      </c>
      <c r="I144" s="17">
        <v>0</v>
      </c>
      <c r="J144" s="17">
        <v>0</v>
      </c>
      <c r="K144" s="17" t="str">
        <f>SUMIFS(G144:J144,$G$14:$J$14,$K$13)</f>
        <v>0</v>
      </c>
      <c r="L144" s="17" t="str">
        <f>SUMIFS(G144:J144,$G$14:$J$14,$L$13)</f>
        <v>0</v>
      </c>
      <c r="M144" s="17"/>
      <c r="N144" s="1"/>
      <c r="O144" s="17"/>
      <c r="P144" s="17" t="str">
        <f>N144+O144</f>
        <v>0</v>
      </c>
      <c r="Q144" s="21"/>
      <c r="R144" s="1"/>
      <c r="S144" s="22" t="str">
        <f>K144+L144</f>
        <v>0</v>
      </c>
      <c r="T144" s="1"/>
      <c r="U144" s="1"/>
      <c r="V144" s="1"/>
      <c r="W144" s="1"/>
      <c r="X144" s="1"/>
      <c r="Y144" s="1"/>
      <c r="Z144" s="1"/>
    </row>
    <row r="145" spans="1:26" customHeight="1" ht="12.75">
      <c r="A145" s="1"/>
      <c r="B145" s="19"/>
      <c r="C145" s="21" t="s">
        <v>182</v>
      </c>
      <c r="D145" s="15" t="s">
        <v>125</v>
      </c>
      <c r="E145" s="16">
        <v>0</v>
      </c>
      <c r="F145" s="16">
        <v>800</v>
      </c>
      <c r="G145" s="17">
        <v>0</v>
      </c>
      <c r="H145" s="17">
        <v>0</v>
      </c>
      <c r="I145" s="17">
        <v>0</v>
      </c>
      <c r="J145" s="17">
        <v>0</v>
      </c>
      <c r="K145" s="17" t="str">
        <f>SUMIFS(G145:J145,$G$14:$J$14,$K$13)</f>
        <v>0</v>
      </c>
      <c r="L145" s="17" t="str">
        <f>SUMIFS(G145:J145,$G$14:$J$14,$L$13)</f>
        <v>0</v>
      </c>
      <c r="M145" s="17"/>
      <c r="N145" s="1"/>
      <c r="O145" s="17"/>
      <c r="P145" s="17" t="str">
        <f>N145+O145</f>
        <v>0</v>
      </c>
      <c r="Q145" s="21"/>
      <c r="R145" s="1"/>
      <c r="S145" s="22" t="str">
        <f>K145+L145</f>
        <v>0</v>
      </c>
      <c r="T145" s="1"/>
      <c r="U145" s="1"/>
      <c r="V145" s="1"/>
      <c r="W145" s="1"/>
      <c r="X145" s="1"/>
      <c r="Y145" s="1"/>
      <c r="Z145" s="1"/>
    </row>
    <row r="146" spans="1:26" customHeight="1" ht="12.75">
      <c r="A146" s="1"/>
      <c r="B146" s="19"/>
      <c r="C146" s="21" t="s">
        <v>183</v>
      </c>
      <c r="D146" s="15" t="s">
        <v>39</v>
      </c>
      <c r="E146" s="16">
        <v>0</v>
      </c>
      <c r="F146" s="16">
        <v>0</v>
      </c>
      <c r="G146" s="17">
        <v>0</v>
      </c>
      <c r="H146" s="17">
        <v>0</v>
      </c>
      <c r="I146" s="17">
        <v>0</v>
      </c>
      <c r="J146" s="17">
        <v>0</v>
      </c>
      <c r="K146" s="17" t="str">
        <f>SUMIFS(G146:J146,$G$14:$J$14,$K$13)</f>
        <v>0</v>
      </c>
      <c r="L146" s="17" t="str">
        <f>SUMIFS(G146:J146,$G$14:$J$14,$L$13)</f>
        <v>0</v>
      </c>
      <c r="M146" s="17"/>
      <c r="N146" s="1"/>
      <c r="O146" s="17"/>
      <c r="P146" s="17" t="str">
        <f>N146+O146</f>
        <v>0</v>
      </c>
      <c r="Q146" s="21"/>
      <c r="R146" s="1"/>
      <c r="S146" s="22" t="str">
        <f>K146+L146</f>
        <v>0</v>
      </c>
      <c r="T146" s="1"/>
      <c r="U146" s="1"/>
      <c r="V146" s="1"/>
      <c r="W146" s="1"/>
      <c r="X146" s="1"/>
      <c r="Y146" s="1"/>
      <c r="Z146" s="1"/>
    </row>
    <row r="147" spans="1:26" customHeight="1" ht="12.75">
      <c r="A147" s="1"/>
      <c r="B147" s="19"/>
      <c r="C147" s="21" t="s">
        <v>184</v>
      </c>
      <c r="D147" s="15" t="s">
        <v>39</v>
      </c>
      <c r="E147" s="16">
        <v>0</v>
      </c>
      <c r="F147" s="16">
        <v>2000</v>
      </c>
      <c r="G147" s="17">
        <v>0</v>
      </c>
      <c r="H147" s="17">
        <v>0</v>
      </c>
      <c r="I147" s="17">
        <v>0</v>
      </c>
      <c r="J147" s="17">
        <v>0</v>
      </c>
      <c r="K147" s="17" t="str">
        <f>SUMIFS(G147:J147,$G$14:$J$14,$K$13)</f>
        <v>0</v>
      </c>
      <c r="L147" s="17" t="str">
        <f>SUMIFS(G147:J147,$G$14:$J$14,$L$13)</f>
        <v>0</v>
      </c>
      <c r="M147" s="17"/>
      <c r="N147" s="1"/>
      <c r="O147" s="17"/>
      <c r="P147" s="17" t="str">
        <f>N147+O147</f>
        <v>0</v>
      </c>
      <c r="Q147" s="21"/>
      <c r="R147" s="1"/>
      <c r="S147" s="22" t="str">
        <f>K147+L147</f>
        <v>0</v>
      </c>
      <c r="T147" s="1"/>
      <c r="U147" s="1"/>
      <c r="V147" s="1"/>
      <c r="W147" s="1"/>
      <c r="X147" s="1"/>
      <c r="Y147" s="1"/>
      <c r="Z147" s="1"/>
    </row>
    <row r="148" spans="1:26" customHeight="1" ht="12.75">
      <c r="A148" s="1"/>
      <c r="B148" s="19"/>
      <c r="C148" s="21" t="s">
        <v>185</v>
      </c>
      <c r="D148" s="15" t="s">
        <v>125</v>
      </c>
      <c r="E148" s="16">
        <v>12000</v>
      </c>
      <c r="F148" s="16">
        <v>0</v>
      </c>
      <c r="G148" s="17">
        <v>0</v>
      </c>
      <c r="H148" s="17">
        <v>0</v>
      </c>
      <c r="I148" s="17">
        <v>0</v>
      </c>
      <c r="J148" s="17">
        <v>0</v>
      </c>
      <c r="K148" s="17" t="str">
        <f>SUMIFS(G148:J148,$G$14:$J$14,$K$13)</f>
        <v>0</v>
      </c>
      <c r="L148" s="17" t="str">
        <f>SUMIFS(G148:J148,$G$14:$J$14,$L$13)</f>
        <v>0</v>
      </c>
      <c r="M148" s="17"/>
      <c r="N148" s="1"/>
      <c r="O148" s="17"/>
      <c r="P148" s="17" t="str">
        <f>N148+O148</f>
        <v>0</v>
      </c>
      <c r="Q148" s="21"/>
      <c r="R148" s="1"/>
      <c r="S148" s="22" t="str">
        <f>K148+L148</f>
        <v>0</v>
      </c>
      <c r="T148" s="1"/>
      <c r="U148" s="1"/>
      <c r="V148" s="1"/>
      <c r="W148" s="1"/>
      <c r="X148" s="1"/>
      <c r="Y148" s="1"/>
      <c r="Z148" s="1"/>
    </row>
    <row r="149" spans="1:26" customHeight="1" ht="12.75">
      <c r="A149" s="1"/>
      <c r="B149" s="19"/>
      <c r="C149" s="21" t="s">
        <v>186</v>
      </c>
      <c r="D149" s="15" t="s">
        <v>125</v>
      </c>
      <c r="E149" s="16">
        <v>0</v>
      </c>
      <c r="F149" s="16">
        <v>1500</v>
      </c>
      <c r="G149" s="17">
        <v>0</v>
      </c>
      <c r="H149" s="17">
        <v>0</v>
      </c>
      <c r="I149" s="17">
        <v>0</v>
      </c>
      <c r="J149" s="17">
        <v>0</v>
      </c>
      <c r="K149" s="17" t="str">
        <f>SUMIFS(G149:J149,$G$14:$J$14,$K$13)</f>
        <v>0</v>
      </c>
      <c r="L149" s="17" t="str">
        <f>SUMIFS(G149:J149,$G$14:$J$14,$L$13)</f>
        <v>0</v>
      </c>
      <c r="M149" s="17"/>
      <c r="N149" s="1"/>
      <c r="O149" s="17"/>
      <c r="P149" s="17" t="str">
        <f>N149+O149</f>
        <v>0</v>
      </c>
      <c r="Q149" s="21"/>
      <c r="R149" s="1"/>
      <c r="S149" s="22" t="str">
        <f>K149+L149</f>
        <v>0</v>
      </c>
      <c r="T149" s="1"/>
      <c r="U149" s="1"/>
      <c r="V149" s="1"/>
      <c r="W149" s="1"/>
      <c r="X149" s="1"/>
      <c r="Y149" s="1"/>
      <c r="Z149" s="1"/>
    </row>
    <row r="150" spans="1:26" customHeight="1" ht="12.75">
      <c r="A150" s="1"/>
      <c r="B150" s="19" t="s">
        <v>88</v>
      </c>
      <c r="C150" s="21" t="s">
        <v>187</v>
      </c>
      <c r="D150" s="15"/>
      <c r="E150" s="16">
        <v>0</v>
      </c>
      <c r="F150" s="16">
        <v>0</v>
      </c>
      <c r="G150" s="17">
        <v>0</v>
      </c>
      <c r="H150" s="17">
        <v>0</v>
      </c>
      <c r="I150" s="17">
        <v>0</v>
      </c>
      <c r="J150" s="17">
        <v>0</v>
      </c>
      <c r="K150" s="17" t="str">
        <f>SUMIFS(G150:J150,$G$14:$J$14,$K$13)</f>
        <v>0</v>
      </c>
      <c r="L150" s="17" t="str">
        <f>SUMIFS(G150:J150,$G$14:$J$14,$L$13)</f>
        <v>0</v>
      </c>
      <c r="M150" s="17"/>
      <c r="N150" s="1"/>
      <c r="O150" s="17"/>
      <c r="P150" s="17" t="str">
        <f>N150+O150</f>
        <v>0</v>
      </c>
      <c r="Q150" s="21"/>
      <c r="R150" s="1"/>
      <c r="S150" s="22" t="str">
        <f>K150+L150</f>
        <v>0</v>
      </c>
      <c r="T150" s="1"/>
      <c r="U150" s="1"/>
      <c r="V150" s="1"/>
      <c r="W150" s="1"/>
      <c r="X150" s="1"/>
      <c r="Y150" s="1"/>
      <c r="Z150" s="1"/>
    </row>
    <row r="151" spans="1:26" customHeight="1" ht="12.75">
      <c r="A151" s="1"/>
      <c r="B151" s="19"/>
      <c r="C151" s="34" t="s">
        <v>188</v>
      </c>
      <c r="D151" s="15" t="s">
        <v>39</v>
      </c>
      <c r="E151" s="16">
        <v>45500</v>
      </c>
      <c r="F151" s="16">
        <v>0</v>
      </c>
      <c r="G151" s="17">
        <v>0</v>
      </c>
      <c r="H151" s="17">
        <v>0</v>
      </c>
      <c r="I151" s="17">
        <v>0</v>
      </c>
      <c r="J151" s="17">
        <v>0</v>
      </c>
      <c r="K151" s="17" t="str">
        <f>SUMIFS(G151:J151,$G$14:$J$14,$K$13)</f>
        <v>0</v>
      </c>
      <c r="L151" s="17" t="str">
        <f>SUMIFS(G151:J151,$G$14:$J$14,$L$13)</f>
        <v>0</v>
      </c>
      <c r="M151" s="17"/>
      <c r="N151" s="1"/>
      <c r="O151" s="17"/>
      <c r="P151" s="17" t="str">
        <f>N151+O151</f>
        <v>0</v>
      </c>
      <c r="Q151" s="21"/>
      <c r="R151" s="1"/>
      <c r="S151" s="22" t="str">
        <f>K151+L151</f>
        <v>0</v>
      </c>
      <c r="T151" s="1"/>
      <c r="U151" s="1"/>
      <c r="V151" s="1"/>
      <c r="W151" s="1"/>
      <c r="X151" s="1"/>
      <c r="Y151" s="1"/>
      <c r="Z151" s="1"/>
    </row>
    <row r="152" spans="1:26" customHeight="1" ht="12.75">
      <c r="A152" s="1"/>
      <c r="B152" s="19"/>
      <c r="C152" s="34" t="s">
        <v>189</v>
      </c>
      <c r="D152" s="15" t="s">
        <v>39</v>
      </c>
      <c r="E152" s="16">
        <v>63500</v>
      </c>
      <c r="F152" s="16">
        <v>0</v>
      </c>
      <c r="G152" s="17">
        <v>0</v>
      </c>
      <c r="H152" s="17">
        <v>0</v>
      </c>
      <c r="I152" s="17">
        <v>0</v>
      </c>
      <c r="J152" s="17">
        <v>0</v>
      </c>
      <c r="K152" s="17" t="str">
        <f>SUMIFS(G152:J152,$G$14:$J$14,$K$13)</f>
        <v>0</v>
      </c>
      <c r="L152" s="17" t="str">
        <f>SUMIFS(G152:J152,$G$14:$J$14,$L$13)</f>
        <v>0</v>
      </c>
      <c r="M152" s="17"/>
      <c r="N152" s="1"/>
      <c r="O152" s="17"/>
      <c r="P152" s="17" t="str">
        <f>N152+O152</f>
        <v>0</v>
      </c>
      <c r="Q152" s="21"/>
      <c r="R152" s="1"/>
      <c r="S152" s="22" t="str">
        <f>K152+L152</f>
        <v>0</v>
      </c>
      <c r="T152" s="1"/>
      <c r="U152" s="1"/>
      <c r="V152" s="1"/>
      <c r="W152" s="1"/>
      <c r="X152" s="1"/>
      <c r="Y152" s="1"/>
      <c r="Z152" s="1"/>
    </row>
    <row r="153" spans="1:26" customHeight="1" ht="12.75">
      <c r="A153" s="1"/>
      <c r="B153" s="19"/>
      <c r="C153" s="34" t="s">
        <v>190</v>
      </c>
      <c r="D153" s="15" t="s">
        <v>39</v>
      </c>
      <c r="E153" s="16">
        <v>99500</v>
      </c>
      <c r="F153" s="16">
        <v>0</v>
      </c>
      <c r="G153" s="17">
        <v>0</v>
      </c>
      <c r="H153" s="17">
        <v>0</v>
      </c>
      <c r="I153" s="17">
        <v>0</v>
      </c>
      <c r="J153" s="17">
        <v>0</v>
      </c>
      <c r="K153" s="17" t="str">
        <f>SUMIFS(G153:J153,$G$14:$J$14,$K$13)</f>
        <v>0</v>
      </c>
      <c r="L153" s="17" t="str">
        <f>SUMIFS(G153:J153,$G$14:$J$14,$L$13)</f>
        <v>0</v>
      </c>
      <c r="M153" s="17"/>
      <c r="N153" s="1"/>
      <c r="O153" s="17"/>
      <c r="P153" s="17" t="str">
        <f>N153+O153</f>
        <v>0</v>
      </c>
      <c r="Q153" s="21"/>
      <c r="R153" s="1"/>
      <c r="S153" s="22" t="str">
        <f>K153+L153</f>
        <v>0</v>
      </c>
      <c r="T153" s="1"/>
      <c r="U153" s="1"/>
      <c r="V153" s="1"/>
      <c r="W153" s="1"/>
      <c r="X153" s="1"/>
      <c r="Y153" s="1"/>
      <c r="Z153" s="1"/>
    </row>
    <row r="154" spans="1:26" customHeight="1" ht="12.75">
      <c r="A154" s="1"/>
      <c r="B154" s="19"/>
      <c r="C154" s="34" t="s">
        <v>191</v>
      </c>
      <c r="D154" s="15" t="s">
        <v>39</v>
      </c>
      <c r="E154" s="16">
        <v>147500</v>
      </c>
      <c r="F154" s="16">
        <v>0</v>
      </c>
      <c r="G154" s="17">
        <v>0</v>
      </c>
      <c r="H154" s="17">
        <v>0</v>
      </c>
      <c r="I154" s="17">
        <v>0</v>
      </c>
      <c r="J154" s="17">
        <v>0</v>
      </c>
      <c r="K154" s="17" t="str">
        <f>SUMIFS(G154:J154,$G$14:$J$14,$K$13)</f>
        <v>0</v>
      </c>
      <c r="L154" s="17" t="str">
        <f>SUMIFS(G154:J154,$G$14:$J$14,$L$13)</f>
        <v>0</v>
      </c>
      <c r="M154" s="17"/>
      <c r="N154" s="1"/>
      <c r="O154" s="17"/>
      <c r="P154" s="17" t="str">
        <f>N154+O154</f>
        <v>0</v>
      </c>
      <c r="Q154" s="21"/>
      <c r="R154" s="1"/>
      <c r="S154" s="22" t="str">
        <f>K154+L154</f>
        <v>0</v>
      </c>
      <c r="T154" s="1"/>
      <c r="U154" s="1"/>
      <c r="V154" s="1"/>
      <c r="W154" s="1"/>
      <c r="X154" s="1"/>
      <c r="Y154" s="1"/>
      <c r="Z154" s="1"/>
    </row>
    <row r="155" spans="1:26" customHeight="1" ht="12.75">
      <c r="A155" s="1"/>
      <c r="B155" s="19" t="s">
        <v>92</v>
      </c>
      <c r="C155" s="34" t="s">
        <v>192</v>
      </c>
      <c r="D155" s="15"/>
      <c r="E155" s="16">
        <v>0</v>
      </c>
      <c r="F155" s="16">
        <v>0</v>
      </c>
      <c r="G155" s="17">
        <v>0</v>
      </c>
      <c r="H155" s="17">
        <v>0</v>
      </c>
      <c r="I155" s="17">
        <v>0</v>
      </c>
      <c r="J155" s="17">
        <v>0</v>
      </c>
      <c r="K155" s="17" t="str">
        <f>SUMIFS(G155:J155,$G$14:$J$14,$K$13)</f>
        <v>0</v>
      </c>
      <c r="L155" s="17" t="str">
        <f>SUMIFS(G155:J155,$G$14:$J$14,$L$13)</f>
        <v>0</v>
      </c>
      <c r="M155" s="17"/>
      <c r="N155" s="1"/>
      <c r="O155" s="17"/>
      <c r="P155" s="17" t="str">
        <f>N155+O155</f>
        <v>0</v>
      </c>
      <c r="Q155" s="21"/>
      <c r="R155" s="1"/>
      <c r="S155" s="22" t="str">
        <f>K155+L155</f>
        <v>0</v>
      </c>
      <c r="T155" s="1"/>
      <c r="U155" s="1"/>
      <c r="V155" s="1"/>
      <c r="W155" s="1"/>
      <c r="X155" s="1"/>
      <c r="Y155" s="1"/>
      <c r="Z155" s="1"/>
    </row>
    <row r="156" spans="1:26" customHeight="1" ht="12.75">
      <c r="A156" s="1"/>
      <c r="B156" s="19"/>
      <c r="C156" s="34" t="s">
        <v>193</v>
      </c>
      <c r="D156" s="15" t="s">
        <v>39</v>
      </c>
      <c r="E156" s="16">
        <v>15900</v>
      </c>
      <c r="F156" s="16">
        <v>0</v>
      </c>
      <c r="G156" s="17">
        <v>0</v>
      </c>
      <c r="H156" s="17">
        <v>0</v>
      </c>
      <c r="I156" s="17">
        <v>0</v>
      </c>
      <c r="J156" s="17">
        <v>0</v>
      </c>
      <c r="K156" s="17" t="str">
        <f>SUMIFS(G156:J156,$G$14:$J$14,$K$13)</f>
        <v>0</v>
      </c>
      <c r="L156" s="17" t="str">
        <f>SUMIFS(G156:J156,$G$14:$J$14,$L$13)</f>
        <v>0</v>
      </c>
      <c r="M156" s="17"/>
      <c r="N156" s="1"/>
      <c r="O156" s="17"/>
      <c r="P156" s="17" t="str">
        <f>N156+O156</f>
        <v>0</v>
      </c>
      <c r="Q156" s="21"/>
      <c r="R156" s="1"/>
      <c r="S156" s="22" t="str">
        <f>K156+L156</f>
        <v>0</v>
      </c>
      <c r="T156" s="1"/>
      <c r="U156" s="1"/>
      <c r="V156" s="1"/>
      <c r="W156" s="1"/>
      <c r="X156" s="1"/>
      <c r="Y156" s="1"/>
      <c r="Z156" s="1"/>
    </row>
    <row r="157" spans="1:26" customHeight="1" ht="12.75">
      <c r="A157" s="1"/>
      <c r="B157" s="19"/>
      <c r="C157" s="34" t="s">
        <v>194</v>
      </c>
      <c r="D157" s="15" t="s">
        <v>39</v>
      </c>
      <c r="E157" s="16">
        <v>24300</v>
      </c>
      <c r="F157" s="16">
        <v>0</v>
      </c>
      <c r="G157" s="17">
        <v>0</v>
      </c>
      <c r="H157" s="17">
        <v>0</v>
      </c>
      <c r="I157" s="17">
        <v>0</v>
      </c>
      <c r="J157" s="17">
        <v>0</v>
      </c>
      <c r="K157" s="17" t="str">
        <f>SUMIFS(G157:J157,$G$14:$J$14,$K$13)</f>
        <v>0</v>
      </c>
      <c r="L157" s="17" t="str">
        <f>SUMIFS(G157:J157,$G$14:$J$14,$L$13)</f>
        <v>0</v>
      </c>
      <c r="M157" s="17"/>
      <c r="N157" s="1"/>
      <c r="O157" s="17"/>
      <c r="P157" s="17" t="str">
        <f>N157+O157</f>
        <v>0</v>
      </c>
      <c r="Q157" s="21"/>
      <c r="R157" s="1"/>
      <c r="S157" s="22" t="str">
        <f>K157+L157</f>
        <v>0</v>
      </c>
      <c r="T157" s="1"/>
      <c r="U157" s="1"/>
      <c r="V157" s="1"/>
      <c r="W157" s="1"/>
      <c r="X157" s="1"/>
      <c r="Y157" s="1"/>
      <c r="Z157" s="1"/>
    </row>
    <row r="158" spans="1:26" customHeight="1" ht="12.75">
      <c r="A158" s="1"/>
      <c r="B158" s="19"/>
      <c r="C158" s="34" t="s">
        <v>195</v>
      </c>
      <c r="D158" s="15" t="s">
        <v>39</v>
      </c>
      <c r="E158" s="16">
        <v>56500</v>
      </c>
      <c r="F158" s="16">
        <v>0</v>
      </c>
      <c r="G158" s="17">
        <v>0</v>
      </c>
      <c r="H158" s="17">
        <v>0</v>
      </c>
      <c r="I158" s="17">
        <v>0</v>
      </c>
      <c r="J158" s="17">
        <v>0</v>
      </c>
      <c r="K158" s="17" t="str">
        <f>SUMIFS(G158:J158,$G$14:$J$14,$K$13)</f>
        <v>0</v>
      </c>
      <c r="L158" s="17" t="str">
        <f>SUMIFS(G158:J158,$G$14:$J$14,$L$13)</f>
        <v>0</v>
      </c>
      <c r="M158" s="17"/>
      <c r="N158" s="1"/>
      <c r="O158" s="17"/>
      <c r="P158" s="17" t="str">
        <f>N158+O158</f>
        <v>0</v>
      </c>
      <c r="Q158" s="21"/>
      <c r="R158" s="1"/>
      <c r="S158" s="22" t="str">
        <f>K158+L158</f>
        <v>0</v>
      </c>
      <c r="T158" s="1"/>
      <c r="U158" s="1"/>
      <c r="V158" s="1"/>
      <c r="W158" s="1"/>
      <c r="X158" s="1"/>
      <c r="Y158" s="1"/>
      <c r="Z158" s="1"/>
    </row>
    <row r="159" spans="1:26" customHeight="1" ht="12.75">
      <c r="A159" s="1"/>
      <c r="B159" s="19"/>
      <c r="C159" s="34" t="s">
        <v>196</v>
      </c>
      <c r="D159" s="15" t="s">
        <v>39</v>
      </c>
      <c r="E159" s="16">
        <v>68500</v>
      </c>
      <c r="F159" s="16">
        <v>0</v>
      </c>
      <c r="G159" s="17">
        <v>0</v>
      </c>
      <c r="H159" s="17">
        <v>0</v>
      </c>
      <c r="I159" s="17">
        <v>0</v>
      </c>
      <c r="J159" s="17">
        <v>0</v>
      </c>
      <c r="K159" s="17" t="str">
        <f>SUMIFS(G159:J159,$G$14:$J$14,$K$13)</f>
        <v>0</v>
      </c>
      <c r="L159" s="17" t="str">
        <f>SUMIFS(G159:J159,$G$14:$J$14,$L$13)</f>
        <v>0</v>
      </c>
      <c r="M159" s="17"/>
      <c r="N159" s="1"/>
      <c r="O159" s="17"/>
      <c r="P159" s="17" t="str">
        <f>N159+O159</f>
        <v>0</v>
      </c>
      <c r="Q159" s="21"/>
      <c r="R159" s="1"/>
      <c r="S159" s="22" t="str">
        <f>K159+L159</f>
        <v>0</v>
      </c>
      <c r="T159" s="1"/>
      <c r="U159" s="1"/>
      <c r="V159" s="1"/>
      <c r="W159" s="1"/>
      <c r="X159" s="1"/>
      <c r="Y159" s="1"/>
      <c r="Z159" s="1"/>
    </row>
    <row r="160" spans="1:26" customHeight="1" ht="12.75">
      <c r="A160" s="1"/>
      <c r="B160" s="19" t="s">
        <v>104</v>
      </c>
      <c r="C160" s="34" t="s">
        <v>197</v>
      </c>
      <c r="D160" s="15"/>
      <c r="E160" s="16">
        <v>0</v>
      </c>
      <c r="F160" s="16">
        <v>0</v>
      </c>
      <c r="G160" s="17">
        <v>0</v>
      </c>
      <c r="H160" s="17">
        <v>0</v>
      </c>
      <c r="I160" s="17">
        <v>0</v>
      </c>
      <c r="J160" s="17">
        <v>0</v>
      </c>
      <c r="K160" s="17" t="str">
        <f>SUMIFS(G160:J160,$G$14:$J$14,$K$13)</f>
        <v>0</v>
      </c>
      <c r="L160" s="17" t="str">
        <f>SUMIFS(G160:J160,$G$14:$J$14,$L$13)</f>
        <v>0</v>
      </c>
      <c r="M160" s="17"/>
      <c r="N160" s="1"/>
      <c r="O160" s="17"/>
      <c r="P160" s="17" t="str">
        <f>N160+O160</f>
        <v>0</v>
      </c>
      <c r="Q160" s="21"/>
      <c r="R160" s="1"/>
      <c r="S160" s="22" t="str">
        <f>K160+L160</f>
        <v>0</v>
      </c>
      <c r="T160" s="1"/>
      <c r="U160" s="1"/>
      <c r="V160" s="1"/>
      <c r="W160" s="1"/>
      <c r="X160" s="1"/>
      <c r="Y160" s="1"/>
      <c r="Z160" s="1"/>
    </row>
    <row r="161" spans="1:26" customHeight="1" ht="12.75">
      <c r="A161" s="1"/>
      <c r="B161" s="19"/>
      <c r="C161" s="34" t="s">
        <v>198</v>
      </c>
      <c r="D161" s="15" t="s">
        <v>39</v>
      </c>
      <c r="E161" s="16">
        <v>7500</v>
      </c>
      <c r="F161" s="16">
        <v>0</v>
      </c>
      <c r="G161" s="17">
        <v>0</v>
      </c>
      <c r="H161" s="17">
        <v>0</v>
      </c>
      <c r="I161" s="17">
        <v>0</v>
      </c>
      <c r="J161" s="17">
        <v>0</v>
      </c>
      <c r="K161" s="17" t="str">
        <f>SUMIFS(G161:J161,$G$14:$J$14,$K$13)</f>
        <v>0</v>
      </c>
      <c r="L161" s="17" t="str">
        <f>SUMIFS(G161:J161,$G$14:$J$14,$L$13)</f>
        <v>0</v>
      </c>
      <c r="M161" s="17"/>
      <c r="N161" s="1"/>
      <c r="O161" s="17"/>
      <c r="P161" s="17" t="str">
        <f>N161+O161</f>
        <v>0</v>
      </c>
      <c r="Q161" s="21"/>
      <c r="R161" s="1"/>
      <c r="S161" s="22" t="str">
        <f>K161+L161</f>
        <v>0</v>
      </c>
      <c r="T161" s="1"/>
      <c r="U161" s="1"/>
      <c r="V161" s="1"/>
      <c r="W161" s="1"/>
      <c r="X161" s="1"/>
      <c r="Y161" s="1"/>
      <c r="Z161" s="1"/>
    </row>
    <row r="162" spans="1:26" customHeight="1" ht="12.75">
      <c r="A162" s="1"/>
      <c r="B162" s="19"/>
      <c r="C162" s="34" t="s">
        <v>199</v>
      </c>
      <c r="D162" s="15" t="s">
        <v>39</v>
      </c>
      <c r="E162" s="16">
        <v>8500</v>
      </c>
      <c r="F162" s="16">
        <v>0</v>
      </c>
      <c r="G162" s="17">
        <v>0</v>
      </c>
      <c r="H162" s="17">
        <v>0</v>
      </c>
      <c r="I162" s="17">
        <v>0</v>
      </c>
      <c r="J162" s="17">
        <v>0</v>
      </c>
      <c r="K162" s="17" t="str">
        <f>SUMIFS(G162:J162,$G$14:$J$14,$K$13)</f>
        <v>0</v>
      </c>
      <c r="L162" s="17" t="str">
        <f>SUMIFS(G162:J162,$G$14:$J$14,$L$13)</f>
        <v>0</v>
      </c>
      <c r="M162" s="17"/>
      <c r="N162" s="1"/>
      <c r="O162" s="17"/>
      <c r="P162" s="17" t="str">
        <f>N162+O162</f>
        <v>0</v>
      </c>
      <c r="Q162" s="21"/>
      <c r="R162" s="1"/>
      <c r="S162" s="22" t="str">
        <f>K162+L162</f>
        <v>0</v>
      </c>
      <c r="T162" s="1"/>
      <c r="U162" s="1"/>
      <c r="V162" s="1"/>
      <c r="W162" s="1"/>
      <c r="X162" s="1"/>
      <c r="Y162" s="1"/>
      <c r="Z162" s="1"/>
    </row>
    <row r="163" spans="1:26" customHeight="1" ht="12.75">
      <c r="A163" s="1"/>
      <c r="B163" s="19"/>
      <c r="C163" s="34" t="s">
        <v>200</v>
      </c>
      <c r="D163" s="15" t="s">
        <v>39</v>
      </c>
      <c r="E163" s="16">
        <v>10300</v>
      </c>
      <c r="F163" s="16">
        <v>0</v>
      </c>
      <c r="G163" s="17">
        <v>0</v>
      </c>
      <c r="H163" s="17">
        <v>0</v>
      </c>
      <c r="I163" s="17">
        <v>0</v>
      </c>
      <c r="J163" s="17">
        <v>0</v>
      </c>
      <c r="K163" s="17" t="str">
        <f>SUMIFS(G163:J163,$G$14:$J$14,$K$13)</f>
        <v>0</v>
      </c>
      <c r="L163" s="17" t="str">
        <f>SUMIFS(G163:J163,$G$14:$J$14,$L$13)</f>
        <v>0</v>
      </c>
      <c r="M163" s="17"/>
      <c r="N163" s="1"/>
      <c r="O163" s="17"/>
      <c r="P163" s="17" t="str">
        <f>N163+O163</f>
        <v>0</v>
      </c>
      <c r="Q163" s="21"/>
      <c r="R163" s="1"/>
      <c r="S163" s="22" t="str">
        <f>K163+L163</f>
        <v>0</v>
      </c>
      <c r="T163" s="1"/>
      <c r="U163" s="1"/>
      <c r="V163" s="1"/>
      <c r="W163" s="1"/>
      <c r="X163" s="1"/>
      <c r="Y163" s="1"/>
      <c r="Z163" s="1"/>
    </row>
    <row r="164" spans="1:26" customHeight="1" ht="12.75">
      <c r="A164" s="1"/>
      <c r="B164" s="19"/>
      <c r="C164" s="34" t="s">
        <v>201</v>
      </c>
      <c r="D164" s="15" t="s">
        <v>39</v>
      </c>
      <c r="E164" s="16">
        <v>11500</v>
      </c>
      <c r="F164" s="16">
        <v>0</v>
      </c>
      <c r="G164" s="17">
        <v>0</v>
      </c>
      <c r="H164" s="17">
        <v>0</v>
      </c>
      <c r="I164" s="17">
        <v>0</v>
      </c>
      <c r="J164" s="17">
        <v>0</v>
      </c>
      <c r="K164" s="17" t="str">
        <f>SUMIFS(G164:J164,$G$14:$J$14,$K$13)</f>
        <v>0</v>
      </c>
      <c r="L164" s="17" t="str">
        <f>SUMIFS(G164:J164,$G$14:$J$14,$L$13)</f>
        <v>0</v>
      </c>
      <c r="M164" s="17"/>
      <c r="N164" s="1"/>
      <c r="O164" s="17"/>
      <c r="P164" s="17" t="str">
        <f>N164+O164</f>
        <v>0</v>
      </c>
      <c r="Q164" s="21"/>
      <c r="R164" s="1"/>
      <c r="S164" s="22" t="str">
        <f>K164+L164</f>
        <v>0</v>
      </c>
      <c r="T164" s="1"/>
      <c r="U164" s="1"/>
      <c r="V164" s="1"/>
      <c r="W164" s="1"/>
      <c r="X164" s="1"/>
      <c r="Y164" s="1"/>
      <c r="Z164" s="1"/>
    </row>
    <row r="165" spans="1:26" customHeight="1" ht="12.75">
      <c r="A165" s="1"/>
      <c r="B165" s="19"/>
      <c r="C165" s="34" t="s">
        <v>202</v>
      </c>
      <c r="D165" s="15" t="s">
        <v>39</v>
      </c>
      <c r="E165" s="16">
        <v>12200</v>
      </c>
      <c r="F165" s="16">
        <v>0</v>
      </c>
      <c r="G165" s="17">
        <v>0</v>
      </c>
      <c r="H165" s="17">
        <v>0</v>
      </c>
      <c r="I165" s="17">
        <v>0</v>
      </c>
      <c r="J165" s="17">
        <v>0</v>
      </c>
      <c r="K165" s="17" t="str">
        <f>SUMIFS(G165:J165,$G$14:$J$14,$K$13)</f>
        <v>0</v>
      </c>
      <c r="L165" s="17" t="str">
        <f>SUMIFS(G165:J165,$G$14:$J$14,$L$13)</f>
        <v>0</v>
      </c>
      <c r="M165" s="17"/>
      <c r="N165" s="1"/>
      <c r="O165" s="17"/>
      <c r="P165" s="17" t="str">
        <f>N165+O165</f>
        <v>0</v>
      </c>
      <c r="Q165" s="21"/>
      <c r="R165" s="1"/>
      <c r="S165" s="22" t="str">
        <f>K165+L165</f>
        <v>0</v>
      </c>
      <c r="T165" s="1"/>
      <c r="U165" s="1"/>
      <c r="V165" s="1"/>
      <c r="W165" s="1"/>
      <c r="X165" s="1"/>
      <c r="Y165" s="1"/>
      <c r="Z165" s="1"/>
    </row>
    <row r="166" spans="1:26" customHeight="1" ht="12.75">
      <c r="A166" s="1"/>
      <c r="B166" s="19"/>
      <c r="C166" s="34" t="s">
        <v>203</v>
      </c>
      <c r="D166" s="15" t="s">
        <v>39</v>
      </c>
      <c r="E166" s="16">
        <v>18500</v>
      </c>
      <c r="F166" s="16">
        <v>0</v>
      </c>
      <c r="G166" s="17">
        <v>0</v>
      </c>
      <c r="H166" s="17">
        <v>0</v>
      </c>
      <c r="I166" s="17">
        <v>0</v>
      </c>
      <c r="J166" s="17">
        <v>0</v>
      </c>
      <c r="K166" s="17" t="str">
        <f>SUMIFS(G166:J166,$G$14:$J$14,$K$13)</f>
        <v>0</v>
      </c>
      <c r="L166" s="17" t="str">
        <f>SUMIFS(G166:J166,$G$14:$J$14,$L$13)</f>
        <v>0</v>
      </c>
      <c r="M166" s="17"/>
      <c r="N166" s="1"/>
      <c r="O166" s="17"/>
      <c r="P166" s="17" t="str">
        <f>N166+O166</f>
        <v>0</v>
      </c>
      <c r="Q166" s="21"/>
      <c r="R166" s="1"/>
      <c r="S166" s="22" t="str">
        <f>K166+L166</f>
        <v>0</v>
      </c>
      <c r="T166" s="1"/>
      <c r="U166" s="1"/>
      <c r="V166" s="1"/>
      <c r="W166" s="1"/>
      <c r="X166" s="1"/>
      <c r="Y166" s="1"/>
      <c r="Z166" s="1"/>
    </row>
    <row r="167" spans="1:26" customHeight="1" ht="12.75">
      <c r="A167" s="1"/>
      <c r="B167" s="19"/>
      <c r="C167" s="34" t="s">
        <v>204</v>
      </c>
      <c r="D167" s="15" t="s">
        <v>39</v>
      </c>
      <c r="E167" s="16">
        <v>21500</v>
      </c>
      <c r="F167" s="16">
        <v>0</v>
      </c>
      <c r="G167" s="17">
        <v>0</v>
      </c>
      <c r="H167" s="17">
        <v>0</v>
      </c>
      <c r="I167" s="17">
        <v>0</v>
      </c>
      <c r="J167" s="17">
        <v>0</v>
      </c>
      <c r="K167" s="17" t="str">
        <f>SUMIFS(G167:J167,$G$14:$J$14,$K$13)</f>
        <v>0</v>
      </c>
      <c r="L167" s="17" t="str">
        <f>SUMIFS(G167:J167,$G$14:$J$14,$L$13)</f>
        <v>0</v>
      </c>
      <c r="M167" s="17"/>
      <c r="N167" s="1"/>
      <c r="O167" s="17"/>
      <c r="P167" s="17" t="str">
        <f>N167+O167</f>
        <v>0</v>
      </c>
      <c r="Q167" s="21"/>
      <c r="R167" s="1"/>
      <c r="S167" s="22" t="str">
        <f>K167+L167</f>
        <v>0</v>
      </c>
      <c r="T167" s="1"/>
      <c r="U167" s="1"/>
      <c r="V167" s="1"/>
      <c r="W167" s="1"/>
      <c r="X167" s="1"/>
      <c r="Y167" s="1"/>
      <c r="Z167" s="1"/>
    </row>
    <row r="168" spans="1:26" customHeight="1" ht="12.75">
      <c r="A168" s="1"/>
      <c r="B168" s="19" t="s">
        <v>107</v>
      </c>
      <c r="C168" s="34" t="s">
        <v>205</v>
      </c>
      <c r="D168" s="15"/>
      <c r="E168" s="16">
        <v>0</v>
      </c>
      <c r="F168" s="16">
        <v>0</v>
      </c>
      <c r="G168" s="17">
        <v>0</v>
      </c>
      <c r="H168" s="17">
        <v>0</v>
      </c>
      <c r="I168" s="17">
        <v>0</v>
      </c>
      <c r="J168" s="17">
        <v>0</v>
      </c>
      <c r="K168" s="17" t="str">
        <f>SUMIFS(G168:J168,$G$14:$J$14,$K$13)</f>
        <v>0</v>
      </c>
      <c r="L168" s="17" t="str">
        <f>SUMIFS(G168:J168,$G$14:$J$14,$L$13)</f>
        <v>0</v>
      </c>
      <c r="M168" s="17"/>
      <c r="N168" s="1"/>
      <c r="O168" s="17"/>
      <c r="P168" s="17" t="str">
        <f>N168+O168</f>
        <v>0</v>
      </c>
      <c r="Q168" s="21"/>
      <c r="R168" s="1"/>
      <c r="S168" s="22" t="str">
        <f>K168+L168</f>
        <v>0</v>
      </c>
      <c r="T168" s="1"/>
      <c r="U168" s="1"/>
      <c r="V168" s="1"/>
      <c r="W168" s="1"/>
      <c r="X168" s="1"/>
      <c r="Y168" s="1"/>
      <c r="Z168" s="1"/>
    </row>
    <row r="169" spans="1:26" customHeight="1" ht="12.75">
      <c r="A169" s="1"/>
      <c r="B169" s="19"/>
      <c r="C169" s="34" t="s">
        <v>206</v>
      </c>
      <c r="D169" s="15" t="s">
        <v>39</v>
      </c>
      <c r="E169" s="16">
        <v>3100</v>
      </c>
      <c r="F169" s="16">
        <v>0</v>
      </c>
      <c r="G169" s="17">
        <v>0</v>
      </c>
      <c r="H169" s="17">
        <v>0</v>
      </c>
      <c r="I169" s="17">
        <v>0</v>
      </c>
      <c r="J169" s="17">
        <v>0</v>
      </c>
      <c r="K169" s="17" t="str">
        <f>SUMIFS(G169:J169,$G$14:$J$14,$K$13)</f>
        <v>0</v>
      </c>
      <c r="L169" s="17" t="str">
        <f>SUMIFS(G169:J169,$G$14:$J$14,$L$13)</f>
        <v>0</v>
      </c>
      <c r="M169" s="17"/>
      <c r="N169" s="1"/>
      <c r="O169" s="17"/>
      <c r="P169" s="17" t="str">
        <f>N169+O169</f>
        <v>0</v>
      </c>
      <c r="Q169" s="21"/>
      <c r="R169" s="1"/>
      <c r="S169" s="22" t="str">
        <f>K169+L169</f>
        <v>0</v>
      </c>
      <c r="T169" s="1"/>
      <c r="U169" s="1"/>
      <c r="V169" s="1"/>
      <c r="W169" s="1"/>
      <c r="X169" s="1"/>
      <c r="Y169" s="1"/>
      <c r="Z169" s="1"/>
    </row>
    <row r="170" spans="1:26" customHeight="1" ht="12.75">
      <c r="A170" s="1"/>
      <c r="B170" s="19"/>
      <c r="C170" s="34" t="s">
        <v>207</v>
      </c>
      <c r="D170" s="15" t="s">
        <v>39</v>
      </c>
      <c r="E170" s="16">
        <v>3100</v>
      </c>
      <c r="F170" s="16">
        <v>0</v>
      </c>
      <c r="G170" s="17">
        <v>0</v>
      </c>
      <c r="H170" s="17">
        <v>0</v>
      </c>
      <c r="I170" s="17">
        <v>0</v>
      </c>
      <c r="J170" s="17">
        <v>0</v>
      </c>
      <c r="K170" s="17" t="str">
        <f>SUMIFS(G170:J170,$G$14:$J$14,$K$13)</f>
        <v>0</v>
      </c>
      <c r="L170" s="17" t="str">
        <f>SUMIFS(G170:J170,$G$14:$J$14,$L$13)</f>
        <v>0</v>
      </c>
      <c r="M170" s="17"/>
      <c r="N170" s="17"/>
      <c r="O170" s="17" t="str">
        <f>K170*E170</f>
        <v>0</v>
      </c>
      <c r="P170" s="17" t="str">
        <f>N170+O170</f>
        <v>0</v>
      </c>
      <c r="Q170" s="21"/>
      <c r="R170" s="1"/>
      <c r="S170" s="22" t="str">
        <f>K170+L170</f>
        <v>0</v>
      </c>
      <c r="T170" s="1"/>
      <c r="U170" s="1"/>
      <c r="V170" s="1"/>
      <c r="W170" s="1"/>
      <c r="X170" s="1"/>
      <c r="Y170" s="1"/>
      <c r="Z170" s="1"/>
    </row>
    <row r="171" spans="1:26" customHeight="1" ht="12.75">
      <c r="A171" s="1"/>
      <c r="B171" s="19"/>
      <c r="C171" s="34" t="s">
        <v>208</v>
      </c>
      <c r="D171" s="15" t="s">
        <v>125</v>
      </c>
      <c r="E171" s="16">
        <v>4250</v>
      </c>
      <c r="F171" s="16">
        <v>0</v>
      </c>
      <c r="G171" s="17">
        <v>0</v>
      </c>
      <c r="H171" s="17">
        <v>0</v>
      </c>
      <c r="I171" s="17">
        <v>0</v>
      </c>
      <c r="J171" s="17">
        <v>0</v>
      </c>
      <c r="K171" s="17" t="str">
        <f>SUMIFS(G171:J171,$G$14:$J$14,$K$13)</f>
        <v>0</v>
      </c>
      <c r="L171" s="17" t="str">
        <f>SUMIFS(G171:J171,$G$14:$J$14,$L$13)</f>
        <v>0</v>
      </c>
      <c r="M171" s="17"/>
      <c r="N171" s="17"/>
      <c r="O171" s="17"/>
      <c r="P171" s="17" t="str">
        <f>N171+O171</f>
        <v>0</v>
      </c>
      <c r="Q171" s="21"/>
      <c r="R171" s="1"/>
      <c r="S171" s="22" t="str">
        <f>K171+L171</f>
        <v>0</v>
      </c>
      <c r="T171" s="1"/>
      <c r="U171" s="1"/>
      <c r="V171" s="1"/>
      <c r="W171" s="1"/>
      <c r="X171" s="1"/>
      <c r="Y171" s="1"/>
      <c r="Z171" s="1"/>
    </row>
    <row r="172" spans="1:26" customHeight="1" ht="12.75">
      <c r="A172" s="1"/>
      <c r="B172" s="19"/>
      <c r="C172" s="34" t="s">
        <v>209</v>
      </c>
      <c r="D172" s="15" t="s">
        <v>125</v>
      </c>
      <c r="E172" s="16">
        <v>3700</v>
      </c>
      <c r="F172" s="16">
        <v>0</v>
      </c>
      <c r="G172" s="17">
        <v>0</v>
      </c>
      <c r="H172" s="17">
        <v>0</v>
      </c>
      <c r="I172" s="17">
        <v>0</v>
      </c>
      <c r="J172" s="17">
        <v>0</v>
      </c>
      <c r="K172" s="17" t="str">
        <f>SUMIFS(G172:J172,$G$14:$J$14,$K$13)</f>
        <v>0</v>
      </c>
      <c r="L172" s="17" t="str">
        <f>SUMIFS(G172:J172,$G$14:$J$14,$L$13)</f>
        <v>0</v>
      </c>
      <c r="M172" s="17"/>
      <c r="N172" s="17"/>
      <c r="O172" s="17"/>
      <c r="P172" s="17" t="str">
        <f>N172+O172</f>
        <v>0</v>
      </c>
      <c r="Q172" s="21"/>
      <c r="R172" s="1"/>
      <c r="S172" s="22" t="str">
        <f>K172+L172</f>
        <v>0</v>
      </c>
      <c r="T172" s="1"/>
      <c r="U172" s="1"/>
      <c r="V172" s="1"/>
      <c r="W172" s="1"/>
      <c r="X172" s="1"/>
      <c r="Y172" s="1"/>
      <c r="Z172" s="1"/>
    </row>
    <row r="173" spans="1:26" customHeight="1" ht="12.75">
      <c r="A173" s="1"/>
      <c r="B173" s="19"/>
      <c r="C173" s="34" t="s">
        <v>210</v>
      </c>
      <c r="D173" s="15" t="s">
        <v>125</v>
      </c>
      <c r="E173" s="16">
        <v>25000</v>
      </c>
      <c r="F173" s="16">
        <v>0</v>
      </c>
      <c r="G173" s="17">
        <v>0</v>
      </c>
      <c r="H173" s="17">
        <v>0</v>
      </c>
      <c r="I173" s="17">
        <v>0</v>
      </c>
      <c r="J173" s="17">
        <v>0</v>
      </c>
      <c r="K173" s="17" t="str">
        <f>SUMIFS(G173:J173,$G$14:$J$14,$K$13)</f>
        <v>0</v>
      </c>
      <c r="L173" s="17" t="str">
        <f>SUMIFS(G173:J173,$G$14:$J$14,$L$13)</f>
        <v>0</v>
      </c>
      <c r="M173" s="17"/>
      <c r="N173" s="17"/>
      <c r="O173" s="17"/>
      <c r="P173" s="17" t="str">
        <f>N173+O173</f>
        <v>0</v>
      </c>
      <c r="Q173" s="21"/>
      <c r="R173" s="1"/>
      <c r="S173" s="22" t="str">
        <f>K173+L173</f>
        <v>0</v>
      </c>
      <c r="T173" s="1"/>
      <c r="U173" s="1"/>
      <c r="V173" s="1"/>
      <c r="W173" s="1"/>
      <c r="X173" s="1"/>
      <c r="Y173" s="1"/>
      <c r="Z173" s="1"/>
    </row>
    <row r="174" spans="1:26" customHeight="1" ht="12.75">
      <c r="A174" s="1"/>
      <c r="B174" s="19"/>
      <c r="C174" s="34" t="s">
        <v>211</v>
      </c>
      <c r="D174" s="15" t="s">
        <v>125</v>
      </c>
      <c r="E174" s="16">
        <v>15500</v>
      </c>
      <c r="F174" s="16">
        <v>0</v>
      </c>
      <c r="G174" s="17">
        <v>0</v>
      </c>
      <c r="H174" s="17">
        <v>0</v>
      </c>
      <c r="I174" s="17">
        <v>0</v>
      </c>
      <c r="J174" s="17">
        <v>0</v>
      </c>
      <c r="K174" s="17" t="str">
        <f>SUMIFS(G174:J174,$G$14:$J$14,$K$13)</f>
        <v>0</v>
      </c>
      <c r="L174" s="17" t="str">
        <f>SUMIFS(G174:J174,$G$14:$J$14,$L$13)</f>
        <v>0</v>
      </c>
      <c r="M174" s="17"/>
      <c r="N174" s="17"/>
      <c r="O174" s="17"/>
      <c r="P174" s="17" t="str">
        <f>N174+O174</f>
        <v>0</v>
      </c>
      <c r="Q174" s="21"/>
      <c r="R174" s="1"/>
      <c r="S174" s="22" t="str">
        <f>K174+L174</f>
        <v>0</v>
      </c>
      <c r="T174" s="1"/>
      <c r="U174" s="1"/>
      <c r="V174" s="1"/>
      <c r="W174" s="1"/>
      <c r="X174" s="1"/>
      <c r="Y174" s="1"/>
      <c r="Z174" s="1"/>
    </row>
    <row r="175" spans="1:26" customHeight="1" ht="12.75">
      <c r="A175" s="1"/>
      <c r="B175" s="19"/>
      <c r="C175" s="34" t="s">
        <v>212</v>
      </c>
      <c r="D175" s="15" t="s">
        <v>125</v>
      </c>
      <c r="E175" s="16">
        <v>15500</v>
      </c>
      <c r="F175" s="16">
        <v>0</v>
      </c>
      <c r="G175" s="17">
        <v>0</v>
      </c>
      <c r="H175" s="17">
        <v>0</v>
      </c>
      <c r="I175" s="17">
        <v>0</v>
      </c>
      <c r="J175" s="17">
        <v>0</v>
      </c>
      <c r="K175" s="17" t="str">
        <f>SUMIFS(G175:J175,$G$14:$J$14,$K$13)</f>
        <v>0</v>
      </c>
      <c r="L175" s="17" t="str">
        <f>SUMIFS(G175:J175,$G$14:$J$14,$L$13)</f>
        <v>0</v>
      </c>
      <c r="M175" s="17"/>
      <c r="N175" s="17"/>
      <c r="O175" s="17"/>
      <c r="P175" s="17" t="str">
        <f>N175+O175</f>
        <v>0</v>
      </c>
      <c r="Q175" s="21"/>
      <c r="R175" s="1"/>
      <c r="S175" s="22" t="str">
        <f>K175+L175</f>
        <v>0</v>
      </c>
      <c r="T175" s="1"/>
      <c r="U175" s="1"/>
      <c r="V175" s="1"/>
      <c r="W175" s="1"/>
      <c r="X175" s="1"/>
      <c r="Y175" s="1"/>
      <c r="Z175" s="1"/>
    </row>
    <row r="176" spans="1:26" customHeight="1" ht="12.75">
      <c r="A176" s="1"/>
      <c r="B176" s="19"/>
      <c r="C176" s="34" t="s">
        <v>213</v>
      </c>
      <c r="D176" s="15" t="s">
        <v>125</v>
      </c>
      <c r="E176" s="16">
        <v>9000</v>
      </c>
      <c r="F176" s="16">
        <v>0</v>
      </c>
      <c r="G176" s="17">
        <v>0</v>
      </c>
      <c r="H176" s="17">
        <v>0</v>
      </c>
      <c r="I176" s="17">
        <v>0</v>
      </c>
      <c r="J176" s="17">
        <v>0</v>
      </c>
      <c r="K176" s="17" t="str">
        <f>SUMIFS(G176:J176,$G$14:$J$14,$K$13)</f>
        <v>0</v>
      </c>
      <c r="L176" s="17" t="str">
        <f>SUMIFS(G176:J176,$G$14:$J$14,$L$13)</f>
        <v>0</v>
      </c>
      <c r="M176" s="17"/>
      <c r="N176" s="17"/>
      <c r="O176" s="17"/>
      <c r="P176" s="17" t="str">
        <f>N176+O176</f>
        <v>0</v>
      </c>
      <c r="Q176" s="21"/>
      <c r="R176" s="1"/>
      <c r="S176" s="22" t="str">
        <f>K176+L176</f>
        <v>0</v>
      </c>
      <c r="T176" s="1"/>
      <c r="U176" s="1"/>
      <c r="V176" s="1"/>
      <c r="W176" s="1"/>
      <c r="X176" s="1"/>
      <c r="Y176" s="1"/>
      <c r="Z176" s="1"/>
    </row>
    <row r="177" spans="1:26" customHeight="1" ht="12.75">
      <c r="A177" s="1"/>
      <c r="B177" s="19"/>
      <c r="C177" s="34" t="s">
        <v>214</v>
      </c>
      <c r="D177" s="15" t="s">
        <v>125</v>
      </c>
      <c r="E177" s="16">
        <v>11400</v>
      </c>
      <c r="F177" s="16">
        <v>0</v>
      </c>
      <c r="G177" s="17">
        <v>0</v>
      </c>
      <c r="H177" s="17">
        <v>0</v>
      </c>
      <c r="I177" s="17">
        <v>0</v>
      </c>
      <c r="J177" s="17">
        <v>0</v>
      </c>
      <c r="K177" s="17" t="str">
        <f>SUMIFS(G177:J177,$G$14:$J$14,$K$13)</f>
        <v>0</v>
      </c>
      <c r="L177" s="17" t="str">
        <f>SUMIFS(G177:J177,$G$14:$J$14,$L$13)</f>
        <v>0</v>
      </c>
      <c r="M177" s="17"/>
      <c r="N177" s="17"/>
      <c r="O177" s="17"/>
      <c r="P177" s="17" t="str">
        <f>N177+O177</f>
        <v>0</v>
      </c>
      <c r="Q177" s="21"/>
      <c r="R177" s="1"/>
      <c r="S177" s="22" t="str">
        <f>K177+L177</f>
        <v>0</v>
      </c>
      <c r="T177" s="1"/>
      <c r="U177" s="1"/>
      <c r="V177" s="1"/>
      <c r="W177" s="1"/>
      <c r="X177" s="1"/>
      <c r="Y177" s="1"/>
      <c r="Z177" s="1"/>
    </row>
    <row r="178" spans="1:26" customHeight="1" ht="12.75">
      <c r="A178" s="1"/>
      <c r="B178" s="19"/>
      <c r="C178" s="34" t="s">
        <v>215</v>
      </c>
      <c r="D178" s="15" t="s">
        <v>125</v>
      </c>
      <c r="E178" s="16">
        <v>9600</v>
      </c>
      <c r="F178" s="16">
        <v>0</v>
      </c>
      <c r="G178" s="17">
        <v>0</v>
      </c>
      <c r="H178" s="17">
        <v>0</v>
      </c>
      <c r="I178" s="17">
        <v>0</v>
      </c>
      <c r="J178" s="17">
        <v>0</v>
      </c>
      <c r="K178" s="17" t="str">
        <f>SUMIFS(G178:J178,$G$14:$J$14,$K$13)</f>
        <v>0</v>
      </c>
      <c r="L178" s="17" t="str">
        <f>SUMIFS(G178:J178,$G$14:$J$14,$L$13)</f>
        <v>0</v>
      </c>
      <c r="M178" s="17"/>
      <c r="N178" s="17"/>
      <c r="O178" s="17"/>
      <c r="P178" s="17" t="str">
        <f>N178+O178</f>
        <v>0</v>
      </c>
      <c r="Q178" s="21"/>
      <c r="R178" s="1"/>
      <c r="S178" s="22" t="str">
        <f>K178+L178</f>
        <v>0</v>
      </c>
      <c r="T178" s="1"/>
      <c r="U178" s="1"/>
      <c r="V178" s="1"/>
      <c r="W178" s="1"/>
      <c r="X178" s="1"/>
      <c r="Y178" s="1"/>
      <c r="Z178" s="1"/>
    </row>
    <row r="179" spans="1:26" customHeight="1" ht="12.75">
      <c r="A179" s="1"/>
      <c r="B179" s="19"/>
      <c r="C179" s="34" t="s">
        <v>216</v>
      </c>
      <c r="D179" s="15" t="s">
        <v>125</v>
      </c>
      <c r="E179" s="16">
        <v>4500</v>
      </c>
      <c r="F179" s="16">
        <v>0</v>
      </c>
      <c r="G179" s="17">
        <v>0</v>
      </c>
      <c r="H179" s="17">
        <v>0</v>
      </c>
      <c r="I179" s="17">
        <v>0</v>
      </c>
      <c r="J179" s="17">
        <v>0</v>
      </c>
      <c r="K179" s="17" t="str">
        <f>SUMIFS(G179:J179,$G$14:$J$14,$K$13)</f>
        <v>0</v>
      </c>
      <c r="L179" s="17" t="str">
        <f>SUMIFS(G179:J179,$G$14:$J$14,$L$13)</f>
        <v>0</v>
      </c>
      <c r="M179" s="17"/>
      <c r="N179" s="17"/>
      <c r="O179" s="17"/>
      <c r="P179" s="17" t="str">
        <f>N179+O179</f>
        <v>0</v>
      </c>
      <c r="Q179" s="21"/>
      <c r="R179" s="1"/>
      <c r="S179" s="22" t="str">
        <f>K179+L179</f>
        <v>0</v>
      </c>
      <c r="T179" s="1"/>
      <c r="U179" s="1"/>
      <c r="V179" s="1"/>
      <c r="W179" s="1"/>
      <c r="X179" s="1"/>
      <c r="Y179" s="1"/>
      <c r="Z179" s="1"/>
    </row>
    <row r="180" spans="1:26" customHeight="1" ht="12.75">
      <c r="A180" s="1"/>
      <c r="B180" s="19"/>
      <c r="C180" s="21" t="s">
        <v>217</v>
      </c>
      <c r="D180" s="15" t="s">
        <v>39</v>
      </c>
      <c r="E180" s="16">
        <v>4640</v>
      </c>
      <c r="F180" s="16">
        <v>0</v>
      </c>
      <c r="G180" s="17">
        <v>0</v>
      </c>
      <c r="H180" s="17">
        <v>0</v>
      </c>
      <c r="I180" s="17">
        <v>0</v>
      </c>
      <c r="J180" s="17">
        <v>0</v>
      </c>
      <c r="K180" s="17" t="str">
        <f>SUMIFS(G180:J180,$G$14:$J$14,$K$13)</f>
        <v>0</v>
      </c>
      <c r="L180" s="17" t="str">
        <f>SUMIFS(G180:J180,$G$14:$J$14,$L$13)</f>
        <v>0</v>
      </c>
      <c r="M180" s="17"/>
      <c r="N180" s="17"/>
      <c r="O180" s="17"/>
      <c r="P180" s="17" t="str">
        <f>N180+O180</f>
        <v>0</v>
      </c>
      <c r="Q180" s="21"/>
      <c r="R180" s="1"/>
      <c r="S180" s="22" t="str">
        <f>K180+L180</f>
        <v>0</v>
      </c>
      <c r="T180" s="1"/>
      <c r="U180" s="1"/>
      <c r="V180" s="1"/>
      <c r="W180" s="1"/>
      <c r="X180" s="1"/>
      <c r="Y180" s="1"/>
      <c r="Z180" s="1"/>
    </row>
    <row r="181" spans="1:26" customHeight="1" ht="12.75">
      <c r="A181" s="1"/>
      <c r="B181" s="19" t="s">
        <v>123</v>
      </c>
      <c r="C181" s="21" t="s">
        <v>218</v>
      </c>
      <c r="D181" s="15"/>
      <c r="E181" s="16">
        <v>0</v>
      </c>
      <c r="F181" s="16">
        <v>0</v>
      </c>
      <c r="G181" s="17">
        <v>0</v>
      </c>
      <c r="H181" s="17">
        <v>0</v>
      </c>
      <c r="I181" s="17">
        <v>0</v>
      </c>
      <c r="J181" s="17">
        <v>0</v>
      </c>
      <c r="K181" s="17" t="str">
        <f>SUMIFS(G181:J181,$G$14:$J$14,$K$13)</f>
        <v>0</v>
      </c>
      <c r="L181" s="17" t="str">
        <f>SUMIFS(G181:J181,$G$14:$J$14,$L$13)</f>
        <v>0</v>
      </c>
      <c r="M181" s="17"/>
      <c r="N181" s="17"/>
      <c r="O181" s="17"/>
      <c r="P181" s="17" t="str">
        <f>N181+O181</f>
        <v>0</v>
      </c>
      <c r="Q181" s="21"/>
      <c r="R181" s="1"/>
      <c r="S181" s="22" t="str">
        <f>K181+L181</f>
        <v>0</v>
      </c>
      <c r="T181" s="1"/>
      <c r="U181" s="1"/>
      <c r="V181" s="1"/>
      <c r="W181" s="1"/>
      <c r="X181" s="1"/>
      <c r="Y181" s="1"/>
      <c r="Z181" s="1"/>
    </row>
    <row r="182" spans="1:26" customHeight="1" ht="12.75">
      <c r="A182" s="1"/>
      <c r="B182" s="19"/>
      <c r="C182" s="21" t="s">
        <v>219</v>
      </c>
      <c r="D182" s="15" t="s">
        <v>55</v>
      </c>
      <c r="E182" s="16">
        <v>0</v>
      </c>
      <c r="F182" s="16">
        <v>0</v>
      </c>
      <c r="G182" s="17">
        <v>0</v>
      </c>
      <c r="H182" s="17">
        <v>0</v>
      </c>
      <c r="I182" s="17">
        <v>0</v>
      </c>
      <c r="J182" s="17">
        <v>0</v>
      </c>
      <c r="K182" s="17" t="str">
        <f>SUMIFS(G182:J182,$G$14:$J$14,$K$13)</f>
        <v>0</v>
      </c>
      <c r="L182" s="17" t="str">
        <f>SUMIFS(G182:J182,$G$14:$J$14,$L$13)</f>
        <v>0</v>
      </c>
      <c r="M182" s="17"/>
      <c r="N182" s="17"/>
      <c r="O182" s="17"/>
      <c r="P182" s="17" t="str">
        <f>N182+O182</f>
        <v>0</v>
      </c>
      <c r="Q182" s="21"/>
      <c r="R182" s="1"/>
      <c r="S182" s="22" t="str">
        <f>K182+L182</f>
        <v>0</v>
      </c>
      <c r="T182" s="1"/>
      <c r="U182" s="1"/>
      <c r="V182" s="1"/>
      <c r="W182" s="1"/>
      <c r="X182" s="1"/>
      <c r="Y182" s="1"/>
      <c r="Z182" s="1"/>
    </row>
    <row r="183" spans="1:26" customHeight="1" ht="12.75">
      <c r="A183" s="1"/>
      <c r="B183" s="19"/>
      <c r="C183" s="21" t="s">
        <v>220</v>
      </c>
      <c r="D183" s="15" t="s">
        <v>55</v>
      </c>
      <c r="E183" s="16">
        <v>0</v>
      </c>
      <c r="F183" s="16">
        <v>750000</v>
      </c>
      <c r="G183" s="17">
        <v>0</v>
      </c>
      <c r="H183" s="17">
        <v>0</v>
      </c>
      <c r="I183" s="17">
        <v>0</v>
      </c>
      <c r="J183" s="17">
        <v>0</v>
      </c>
      <c r="K183" s="17" t="str">
        <f>SUMIFS(G183:J183,$G$14:$J$14,$K$13)</f>
        <v>0</v>
      </c>
      <c r="L183" s="17" t="str">
        <f>SUMIFS(G183:J183,$G$14:$J$14,$L$13)</f>
        <v>0</v>
      </c>
      <c r="M183" s="17"/>
      <c r="N183" s="17"/>
      <c r="O183" s="17"/>
      <c r="P183" s="17" t="str">
        <f>N183+O183</f>
        <v>0</v>
      </c>
      <c r="Q183" s="21"/>
      <c r="R183" s="1"/>
      <c r="S183" s="22" t="str">
        <f>K183+L183</f>
        <v>0</v>
      </c>
      <c r="T183" s="1"/>
      <c r="U183" s="1"/>
      <c r="V183" s="1"/>
      <c r="W183" s="1"/>
      <c r="X183" s="1"/>
      <c r="Y183" s="1"/>
      <c r="Z183" s="1"/>
    </row>
    <row r="184" spans="1:26" customHeight="1" ht="12.75">
      <c r="A184" s="1"/>
      <c r="B184" s="19"/>
      <c r="C184" s="21" t="s">
        <v>221</v>
      </c>
      <c r="D184" s="15" t="s">
        <v>55</v>
      </c>
      <c r="E184" s="16">
        <v>2200000</v>
      </c>
      <c r="F184" s="16">
        <v>0</v>
      </c>
      <c r="G184" s="17">
        <v>0</v>
      </c>
      <c r="H184" s="17">
        <v>0</v>
      </c>
      <c r="I184" s="17">
        <v>0</v>
      </c>
      <c r="J184" s="17">
        <v>0</v>
      </c>
      <c r="K184" s="17" t="str">
        <f>SUMIFS(G184:J184,$G$14:$J$14,$K$13)</f>
        <v>0</v>
      </c>
      <c r="L184" s="17" t="str">
        <f>SUMIFS(G184:J184,$G$14:$J$14,$L$13)</f>
        <v>0</v>
      </c>
      <c r="M184" s="17"/>
      <c r="N184" s="17"/>
      <c r="O184" s="17"/>
      <c r="P184" s="17" t="str">
        <f>N184+O184</f>
        <v>0</v>
      </c>
      <c r="Q184" s="21"/>
      <c r="R184" s="1"/>
      <c r="S184" s="22" t="str">
        <f>K184+L184</f>
        <v>0</v>
      </c>
      <c r="T184" s="1"/>
      <c r="U184" s="1"/>
      <c r="V184" s="1"/>
      <c r="W184" s="1"/>
      <c r="X184" s="1"/>
      <c r="Y184" s="1"/>
      <c r="Z184" s="1"/>
    </row>
    <row r="185" spans="1:26" customHeight="1" ht="12.75">
      <c r="A185" s="1"/>
      <c r="B185" s="19"/>
      <c r="C185" s="21" t="s">
        <v>222</v>
      </c>
      <c r="D185" s="15" t="s">
        <v>55</v>
      </c>
      <c r="E185" s="16">
        <v>0</v>
      </c>
      <c r="F185" s="16">
        <v>700000</v>
      </c>
      <c r="G185" s="17">
        <v>0</v>
      </c>
      <c r="H185" s="17">
        <v>0</v>
      </c>
      <c r="I185" s="17">
        <v>0</v>
      </c>
      <c r="J185" s="17">
        <v>0</v>
      </c>
      <c r="K185" s="17" t="str">
        <f>SUMIFS(G185:J185,$G$14:$J$14,$K$13)</f>
        <v>0</v>
      </c>
      <c r="L185" s="17" t="str">
        <f>SUMIFS(G185:J185,$G$14:$J$14,$L$13)</f>
        <v>0</v>
      </c>
      <c r="M185" s="17"/>
      <c r="N185" s="17"/>
      <c r="O185" s="17"/>
      <c r="P185" s="17" t="str">
        <f>N185+O185</f>
        <v>0</v>
      </c>
      <c r="Q185" s="21"/>
      <c r="R185" s="1"/>
      <c r="S185" s="22" t="str">
        <f>K185+L185</f>
        <v>0</v>
      </c>
      <c r="T185" s="1"/>
      <c r="U185" s="1"/>
      <c r="V185" s="1"/>
      <c r="W185" s="1"/>
      <c r="X185" s="1"/>
      <c r="Y185" s="1"/>
      <c r="Z185" s="1"/>
    </row>
    <row r="186" spans="1:26" customHeight="1" ht="12.75">
      <c r="A186" s="1"/>
      <c r="B186" s="19"/>
      <c r="C186" s="21" t="s">
        <v>223</v>
      </c>
      <c r="D186" s="15" t="s">
        <v>55</v>
      </c>
      <c r="E186" s="16">
        <v>0</v>
      </c>
      <c r="F186" s="16">
        <v>0</v>
      </c>
      <c r="G186" s="17">
        <v>0</v>
      </c>
      <c r="H186" s="17">
        <v>0</v>
      </c>
      <c r="I186" s="17">
        <v>0</v>
      </c>
      <c r="J186" s="17">
        <v>0</v>
      </c>
      <c r="K186" s="17" t="str">
        <f>SUMIFS(G186:J186,$G$14:$J$14,$K$13)</f>
        <v>0</v>
      </c>
      <c r="L186" s="17" t="str">
        <f>SUMIFS(G186:J186,$G$14:$J$14,$L$13)</f>
        <v>0</v>
      </c>
      <c r="M186" s="17"/>
      <c r="N186" s="17"/>
      <c r="O186" s="17"/>
      <c r="P186" s="17" t="str">
        <f>N186+O186</f>
        <v>0</v>
      </c>
      <c r="Q186" s="21"/>
      <c r="R186" s="1"/>
      <c r="S186" s="22" t="str">
        <f>K186+L186</f>
        <v>0</v>
      </c>
      <c r="T186" s="1"/>
      <c r="U186" s="1"/>
      <c r="V186" s="1"/>
      <c r="W186" s="1"/>
      <c r="X186" s="1"/>
      <c r="Y186" s="1"/>
      <c r="Z186" s="1"/>
    </row>
    <row r="187" spans="1:26" customHeight="1" ht="12.75">
      <c r="A187" s="1"/>
      <c r="B187" s="19"/>
      <c r="C187" s="21" t="s">
        <v>224</v>
      </c>
      <c r="D187" s="15" t="s">
        <v>55</v>
      </c>
      <c r="E187" s="16">
        <v>0</v>
      </c>
      <c r="F187" s="16">
        <v>225000</v>
      </c>
      <c r="G187" s="17">
        <v>0</v>
      </c>
      <c r="H187" s="17">
        <v>0</v>
      </c>
      <c r="I187" s="17">
        <v>0</v>
      </c>
      <c r="J187" s="17">
        <v>0</v>
      </c>
      <c r="K187" s="17" t="str">
        <f>SUMIFS(G187:J187,$G$14:$J$14,$K$13)</f>
        <v>0</v>
      </c>
      <c r="L187" s="17" t="str">
        <f>SUMIFS(G187:J187,$G$14:$J$14,$L$13)</f>
        <v>0</v>
      </c>
      <c r="M187" s="17"/>
      <c r="N187" s="17"/>
      <c r="O187" s="17"/>
      <c r="P187" s="17" t="str">
        <f>N187+O187</f>
        <v>0</v>
      </c>
      <c r="Q187" s="21"/>
      <c r="R187" s="1"/>
      <c r="S187" s="22" t="str">
        <f>K187+L187</f>
        <v>0</v>
      </c>
      <c r="T187" s="1"/>
      <c r="U187" s="1"/>
      <c r="V187" s="1"/>
      <c r="W187" s="1"/>
      <c r="X187" s="1"/>
      <c r="Y187" s="1"/>
      <c r="Z187" s="1"/>
    </row>
    <row r="188" spans="1:26" customHeight="1" ht="12.75">
      <c r="A188" s="1"/>
      <c r="B188" s="19" t="s">
        <v>225</v>
      </c>
      <c r="C188" s="21" t="s">
        <v>226</v>
      </c>
      <c r="D188" s="15" t="s">
        <v>55</v>
      </c>
      <c r="E188" s="16">
        <v>1500000</v>
      </c>
      <c r="F188" s="16">
        <v>0</v>
      </c>
      <c r="G188" s="17">
        <v>0</v>
      </c>
      <c r="H188" s="17">
        <v>0</v>
      </c>
      <c r="I188" s="17">
        <v>0</v>
      </c>
      <c r="J188" s="17">
        <v>0</v>
      </c>
      <c r="K188" s="17" t="str">
        <f>SUMIFS(G188:J188,$G$14:$J$14,$K$13)</f>
        <v>0</v>
      </c>
      <c r="L188" s="17" t="str">
        <f>SUMIFS(G188:J188,$G$14:$J$14,$L$13)</f>
        <v>0</v>
      </c>
      <c r="M188" s="17"/>
      <c r="N188" s="17"/>
      <c r="O188" s="17"/>
      <c r="P188" s="17" t="str">
        <f>N188+O188</f>
        <v>0</v>
      </c>
      <c r="Q188" s="21"/>
      <c r="R188" s="1"/>
      <c r="S188" s="22" t="str">
        <f>K188+L188</f>
        <v>0</v>
      </c>
      <c r="T188" s="1"/>
      <c r="U188" s="1"/>
      <c r="V188" s="1"/>
      <c r="W188" s="1"/>
      <c r="X188" s="1"/>
      <c r="Y188" s="1"/>
      <c r="Z188" s="1"/>
    </row>
    <row r="189" spans="1:26" customHeight="1" ht="12.75">
      <c r="A189" s="1"/>
      <c r="B189" s="19"/>
      <c r="C189" s="21" t="s">
        <v>227</v>
      </c>
      <c r="D189" s="15" t="s">
        <v>55</v>
      </c>
      <c r="E189" s="16">
        <v>0</v>
      </c>
      <c r="F189" s="16">
        <v>400000</v>
      </c>
      <c r="G189" s="17">
        <v>0</v>
      </c>
      <c r="H189" s="17">
        <v>0</v>
      </c>
      <c r="I189" s="17">
        <v>0</v>
      </c>
      <c r="J189" s="17">
        <v>0</v>
      </c>
      <c r="K189" s="17" t="str">
        <f>SUMIFS(G189:J189,$G$14:$J$14,$K$13)</f>
        <v>0</v>
      </c>
      <c r="L189" s="17" t="str">
        <f>SUMIFS(G189:J189,$G$14:$J$14,$L$13)</f>
        <v>0</v>
      </c>
      <c r="M189" s="17"/>
      <c r="N189" s="17"/>
      <c r="O189" s="17"/>
      <c r="P189" s="17" t="str">
        <f>N189+O189</f>
        <v>0</v>
      </c>
      <c r="Q189" s="21"/>
      <c r="R189" s="1"/>
      <c r="S189" s="22" t="str">
        <f>K189+L189</f>
        <v>0</v>
      </c>
      <c r="T189" s="1"/>
      <c r="U189" s="1"/>
      <c r="V189" s="1"/>
      <c r="W189" s="1"/>
      <c r="X189" s="1"/>
      <c r="Y189" s="1"/>
      <c r="Z189" s="1"/>
    </row>
    <row r="190" spans="1:26" customHeight="1" ht="12.75">
      <c r="A190" s="1"/>
      <c r="B190" s="19"/>
      <c r="C190" s="21" t="s">
        <v>228</v>
      </c>
      <c r="D190" s="15" t="s">
        <v>55</v>
      </c>
      <c r="E190" s="16">
        <v>0</v>
      </c>
      <c r="F190" s="16">
        <v>0</v>
      </c>
      <c r="G190" s="17">
        <v>0</v>
      </c>
      <c r="H190" s="17">
        <v>0</v>
      </c>
      <c r="I190" s="17">
        <v>0</v>
      </c>
      <c r="J190" s="17">
        <v>0</v>
      </c>
      <c r="K190" s="17" t="str">
        <f>SUMIFS(G190:J190,$G$14:$J$14,$K$13)</f>
        <v>0</v>
      </c>
      <c r="L190" s="17" t="str">
        <f>SUMIFS(G190:J190,$G$14:$J$14,$L$13)</f>
        <v>0</v>
      </c>
      <c r="M190" s="17"/>
      <c r="N190" s="17"/>
      <c r="O190" s="17"/>
      <c r="P190" s="17" t="str">
        <f>N190+O190</f>
        <v>0</v>
      </c>
      <c r="Q190" s="21"/>
      <c r="R190" s="1"/>
      <c r="S190" s="22" t="str">
        <f>K190+L190</f>
        <v>0</v>
      </c>
      <c r="T190" s="1"/>
      <c r="U190" s="1"/>
      <c r="V190" s="1"/>
      <c r="W190" s="1"/>
      <c r="X190" s="1"/>
      <c r="Y190" s="1"/>
      <c r="Z190" s="1"/>
    </row>
    <row r="191" spans="1:26" customHeight="1" ht="12.75">
      <c r="A191" s="1"/>
      <c r="B191" s="19"/>
      <c r="C191" s="21" t="s">
        <v>229</v>
      </c>
      <c r="D191" s="15" t="s">
        <v>55</v>
      </c>
      <c r="E191" s="16">
        <v>0</v>
      </c>
      <c r="F191" s="16">
        <v>350000</v>
      </c>
      <c r="G191" s="17">
        <v>0</v>
      </c>
      <c r="H191" s="17">
        <v>0</v>
      </c>
      <c r="I191" s="17">
        <v>0</v>
      </c>
      <c r="J191" s="17">
        <v>0</v>
      </c>
      <c r="K191" s="17" t="str">
        <f>SUMIFS(G191:J191,$G$14:$J$14,$K$13)</f>
        <v>0</v>
      </c>
      <c r="L191" s="17" t="str">
        <f>SUMIFS(G191:J191,$G$14:$J$14,$L$13)</f>
        <v>0</v>
      </c>
      <c r="M191" s="17"/>
      <c r="N191" s="17"/>
      <c r="O191" s="17"/>
      <c r="P191" s="17" t="str">
        <f>N191+O191</f>
        <v>0</v>
      </c>
      <c r="Q191" s="21"/>
      <c r="R191" s="1"/>
      <c r="S191" s="22" t="str">
        <f>K191+L191</f>
        <v>0</v>
      </c>
      <c r="T191" s="1"/>
      <c r="U191" s="1"/>
      <c r="V191" s="1"/>
      <c r="W191" s="1"/>
      <c r="X191" s="1"/>
      <c r="Y191" s="1"/>
      <c r="Z191" s="1"/>
    </row>
    <row r="192" spans="1:26" customHeight="1" ht="12.75">
      <c r="A192" s="1"/>
      <c r="B192" s="19"/>
      <c r="C192" s="21" t="s">
        <v>230</v>
      </c>
      <c r="D192" s="15" t="s">
        <v>55</v>
      </c>
      <c r="E192" s="16">
        <v>750000</v>
      </c>
      <c r="F192" s="16">
        <v>0</v>
      </c>
      <c r="G192" s="17">
        <v>0</v>
      </c>
      <c r="H192" s="17">
        <v>0</v>
      </c>
      <c r="I192" s="17">
        <v>0</v>
      </c>
      <c r="J192" s="17">
        <v>0</v>
      </c>
      <c r="K192" s="17" t="str">
        <f>SUMIFS(G192:J192,$G$14:$J$14,$K$13)</f>
        <v>0</v>
      </c>
      <c r="L192" s="17" t="str">
        <f>SUMIFS(G192:J192,$G$14:$J$14,$L$13)</f>
        <v>0</v>
      </c>
      <c r="M192" s="17"/>
      <c r="N192" s="17"/>
      <c r="O192" s="17"/>
      <c r="P192" s="17" t="str">
        <f>N192+O192</f>
        <v>0</v>
      </c>
      <c r="Q192" s="21"/>
      <c r="R192" s="1"/>
      <c r="S192" s="22" t="str">
        <f>K192+L192</f>
        <v>0</v>
      </c>
      <c r="T192" s="1"/>
      <c r="U192" s="1"/>
      <c r="V192" s="1"/>
      <c r="W192" s="1"/>
      <c r="X192" s="1"/>
      <c r="Y192" s="1"/>
      <c r="Z192" s="1"/>
    </row>
    <row r="193" spans="1:26" customHeight="1" ht="12.75">
      <c r="A193" s="1"/>
      <c r="B193" s="19"/>
      <c r="C193" s="21" t="s">
        <v>231</v>
      </c>
      <c r="D193" s="15" t="s">
        <v>55</v>
      </c>
      <c r="E193" s="16">
        <v>0</v>
      </c>
      <c r="F193" s="16">
        <v>200000</v>
      </c>
      <c r="G193" s="17">
        <v>0</v>
      </c>
      <c r="H193" s="17">
        <v>0</v>
      </c>
      <c r="I193" s="17">
        <v>0</v>
      </c>
      <c r="J193" s="17">
        <v>0</v>
      </c>
      <c r="K193" s="17" t="str">
        <f>SUMIFS(G193:J193,$G$14:$J$14,$K$13)</f>
        <v>0</v>
      </c>
      <c r="L193" s="17" t="str">
        <f>SUMIFS(G193:J193,$G$14:$J$14,$L$13)</f>
        <v>0</v>
      </c>
      <c r="M193" s="17"/>
      <c r="N193" s="17"/>
      <c r="O193" s="17"/>
      <c r="P193" s="17" t="str">
        <f>N193+O193</f>
        <v>0</v>
      </c>
      <c r="Q193" s="21"/>
      <c r="R193" s="1"/>
      <c r="S193" s="22" t="str">
        <f>K193+L193</f>
        <v>0</v>
      </c>
      <c r="T193" s="1"/>
      <c r="U193" s="1"/>
      <c r="V193" s="1"/>
      <c r="W193" s="1"/>
      <c r="X193" s="1"/>
      <c r="Y193" s="1"/>
      <c r="Z193" s="1"/>
    </row>
    <row r="194" spans="1:26" customHeight="1" ht="12.75">
      <c r="A194" s="1"/>
      <c r="B194" s="19"/>
      <c r="C194" s="21" t="s">
        <v>232</v>
      </c>
      <c r="D194" s="15" t="s">
        <v>55</v>
      </c>
      <c r="E194" s="16">
        <v>0</v>
      </c>
      <c r="F194" s="16">
        <v>0</v>
      </c>
      <c r="G194" s="17">
        <v>0</v>
      </c>
      <c r="H194" s="17">
        <v>0</v>
      </c>
      <c r="I194" s="17">
        <v>0</v>
      </c>
      <c r="J194" s="17">
        <v>0</v>
      </c>
      <c r="K194" s="17" t="str">
        <f>SUMIFS(G194:J194,$G$14:$J$14,$K$13)</f>
        <v>0</v>
      </c>
      <c r="L194" s="17" t="str">
        <f>SUMIFS(G194:J194,$G$14:$J$14,$L$13)</f>
        <v>0</v>
      </c>
      <c r="M194" s="17"/>
      <c r="N194" s="17"/>
      <c r="O194" s="17"/>
      <c r="P194" s="17" t="str">
        <f>N194+O194</f>
        <v>0</v>
      </c>
      <c r="Q194" s="21"/>
      <c r="R194" s="1"/>
      <c r="S194" s="22" t="str">
        <f>K194+L194</f>
        <v>0</v>
      </c>
      <c r="T194" s="1"/>
      <c r="U194" s="1"/>
      <c r="V194" s="1"/>
      <c r="W194" s="1"/>
      <c r="X194" s="1"/>
      <c r="Y194" s="1"/>
      <c r="Z194" s="1"/>
    </row>
    <row r="195" spans="1:26" customHeight="1" ht="12.75">
      <c r="A195" s="1"/>
      <c r="B195" s="19"/>
      <c r="C195" s="21" t="s">
        <v>233</v>
      </c>
      <c r="D195" s="15" t="s">
        <v>55</v>
      </c>
      <c r="E195" s="16">
        <v>0</v>
      </c>
      <c r="F195" s="16">
        <v>0</v>
      </c>
      <c r="G195" s="17">
        <v>0</v>
      </c>
      <c r="H195" s="17">
        <v>0</v>
      </c>
      <c r="I195" s="17">
        <v>0</v>
      </c>
      <c r="J195" s="17">
        <v>0</v>
      </c>
      <c r="K195" s="17" t="str">
        <f>SUMIFS(G195:J195,$G$14:$J$14,$K$13)</f>
        <v>0</v>
      </c>
      <c r="L195" s="17" t="str">
        <f>SUMIFS(G195:J195,$G$14:$J$14,$L$13)</f>
        <v>0</v>
      </c>
      <c r="M195" s="17"/>
      <c r="N195" s="17"/>
      <c r="O195" s="17"/>
      <c r="P195" s="17" t="str">
        <f>N195+O195</f>
        <v>0</v>
      </c>
      <c r="Q195" s="21"/>
      <c r="R195" s="1"/>
      <c r="S195" s="22" t="str">
        <f>K195+L195</f>
        <v>0</v>
      </c>
      <c r="T195" s="1"/>
      <c r="U195" s="1"/>
      <c r="V195" s="1"/>
      <c r="W195" s="1"/>
      <c r="X195" s="1"/>
      <c r="Y195" s="1"/>
      <c r="Z195" s="1"/>
    </row>
    <row r="196" spans="1:26" customHeight="1" ht="12.75">
      <c r="A196" s="1"/>
      <c r="B196" s="19"/>
      <c r="C196" s="21" t="s">
        <v>234</v>
      </c>
      <c r="D196" s="15" t="s">
        <v>125</v>
      </c>
      <c r="E196" s="16">
        <v>57000</v>
      </c>
      <c r="F196" s="16">
        <v>0</v>
      </c>
      <c r="G196" s="17">
        <v>0</v>
      </c>
      <c r="H196" s="17">
        <v>0</v>
      </c>
      <c r="I196" s="17">
        <v>0</v>
      </c>
      <c r="J196" s="17">
        <v>0</v>
      </c>
      <c r="K196" s="17" t="str">
        <f>SUMIFS(G196:J196,$G$14:$J$14,$K$13)</f>
        <v>0</v>
      </c>
      <c r="L196" s="17" t="str">
        <f>SUMIFS(G196:J196,$G$14:$J$14,$L$13)</f>
        <v>0</v>
      </c>
      <c r="M196" s="17"/>
      <c r="N196" s="17"/>
      <c r="O196" s="17"/>
      <c r="P196" s="17" t="str">
        <f>N196+O196</f>
        <v>0</v>
      </c>
      <c r="Q196" s="21"/>
      <c r="R196" s="1"/>
      <c r="S196" s="22" t="str">
        <f>K196+L196</f>
        <v>0</v>
      </c>
      <c r="T196" s="1"/>
      <c r="U196" s="1"/>
      <c r="V196" s="1"/>
      <c r="W196" s="1"/>
      <c r="X196" s="1"/>
      <c r="Y196" s="1"/>
      <c r="Z196" s="1"/>
    </row>
    <row r="197" spans="1:26" customHeight="1" ht="12.75">
      <c r="A197" s="1"/>
      <c r="B197" s="19" t="s">
        <v>235</v>
      </c>
      <c r="C197" s="21" t="s">
        <v>236</v>
      </c>
      <c r="D197" s="15" t="s">
        <v>55</v>
      </c>
      <c r="E197" s="16">
        <v>240000</v>
      </c>
      <c r="F197" s="16">
        <v>0</v>
      </c>
      <c r="G197" s="17">
        <v>0</v>
      </c>
      <c r="H197" s="17">
        <v>0</v>
      </c>
      <c r="I197" s="17">
        <v>0</v>
      </c>
      <c r="J197" s="17">
        <v>0</v>
      </c>
      <c r="K197" s="17" t="str">
        <f>SUMIFS(G197:J197,$G$14:$J$14,$K$13)</f>
        <v>0</v>
      </c>
      <c r="L197" s="17" t="str">
        <f>SUMIFS(G197:J197,$G$14:$J$14,$L$13)</f>
        <v>0</v>
      </c>
      <c r="M197" s="17"/>
      <c r="N197" s="17"/>
      <c r="O197" s="17"/>
      <c r="P197" s="17" t="str">
        <f>N197+O197</f>
        <v>0</v>
      </c>
      <c r="Q197" s="21"/>
      <c r="R197" s="1"/>
      <c r="S197" s="22" t="str">
        <f>K197+L197</f>
        <v>0</v>
      </c>
      <c r="T197" s="1"/>
      <c r="U197" s="1"/>
      <c r="V197" s="1"/>
      <c r="W197" s="1"/>
      <c r="X197" s="1"/>
      <c r="Y197" s="1"/>
      <c r="Z197" s="1"/>
    </row>
    <row r="198" spans="1:26" customHeight="1" ht="12.75">
      <c r="A198" s="1"/>
      <c r="B198" s="19" t="s">
        <v>128</v>
      </c>
      <c r="C198" s="34" t="s">
        <v>237</v>
      </c>
      <c r="D198" s="15" t="s">
        <v>39</v>
      </c>
      <c r="E198" s="16">
        <v>2500</v>
      </c>
      <c r="F198" s="16">
        <v>0</v>
      </c>
      <c r="G198" s="17">
        <v>0</v>
      </c>
      <c r="H198" s="17">
        <v>0</v>
      </c>
      <c r="I198" s="17">
        <v>0</v>
      </c>
      <c r="J198" s="17">
        <v>0</v>
      </c>
      <c r="K198" s="17" t="str">
        <f>SUMIFS(G198:J198,$G$14:$J$14,$K$13)</f>
        <v>0</v>
      </c>
      <c r="L198" s="17" t="str">
        <f>SUMIFS(G198:J198,$G$14:$J$14,$L$13)</f>
        <v>0</v>
      </c>
      <c r="M198" s="17"/>
      <c r="N198" s="17"/>
      <c r="O198" s="17"/>
      <c r="P198" s="17" t="str">
        <f>N198+O198</f>
        <v>0</v>
      </c>
      <c r="Q198" s="21"/>
      <c r="R198" s="1"/>
      <c r="S198" s="22" t="str">
        <f>K198+L198</f>
        <v>0</v>
      </c>
      <c r="T198" s="1"/>
      <c r="U198" s="1"/>
      <c r="V198" s="1"/>
      <c r="W198" s="1"/>
      <c r="X198" s="1"/>
      <c r="Y198" s="1"/>
      <c r="Z198" s="1"/>
    </row>
    <row r="199" spans="1:26" customHeight="1" ht="12.75">
      <c r="A199" s="1"/>
      <c r="B199" s="19" t="s">
        <v>132</v>
      </c>
      <c r="C199" s="34" t="s">
        <v>238</v>
      </c>
      <c r="D199" s="15" t="s">
        <v>125</v>
      </c>
      <c r="E199" s="16">
        <v>165000</v>
      </c>
      <c r="F199" s="16">
        <v>0</v>
      </c>
      <c r="G199" s="17">
        <v>0</v>
      </c>
      <c r="H199" s="17">
        <v>0</v>
      </c>
      <c r="I199" s="17">
        <v>0</v>
      </c>
      <c r="J199" s="17">
        <v>0</v>
      </c>
      <c r="K199" s="17" t="str">
        <f>SUMIFS(G199:J199,$G$14:$J$14,$K$13)</f>
        <v>0</v>
      </c>
      <c r="L199" s="17" t="str">
        <f>SUMIFS(G199:J199,$G$14:$J$14,$L$13)</f>
        <v>0</v>
      </c>
      <c r="M199" s="17"/>
      <c r="N199" s="17"/>
      <c r="O199" s="17"/>
      <c r="P199" s="17" t="str">
        <f>N199+O199</f>
        <v>0</v>
      </c>
      <c r="Q199" s="21"/>
      <c r="R199" s="1"/>
      <c r="S199" s="22" t="str">
        <f>K199+L199</f>
        <v>0</v>
      </c>
      <c r="T199" s="1"/>
      <c r="U199" s="1"/>
      <c r="V199" s="1"/>
      <c r="W199" s="1"/>
      <c r="X199" s="1"/>
      <c r="Y199" s="1"/>
      <c r="Z199" s="1"/>
    </row>
    <row r="200" spans="1:26" customHeight="1" ht="12.75">
      <c r="A200" s="1"/>
      <c r="B200" s="19" t="s">
        <v>134</v>
      </c>
      <c r="C200" s="34" t="s">
        <v>239</v>
      </c>
      <c r="D200" s="15" t="s">
        <v>39</v>
      </c>
      <c r="E200" s="16">
        <v>80000</v>
      </c>
      <c r="F200" s="16">
        <v>0</v>
      </c>
      <c r="G200" s="17">
        <v>0</v>
      </c>
      <c r="H200" s="17">
        <v>0</v>
      </c>
      <c r="I200" s="17">
        <v>0</v>
      </c>
      <c r="J200" s="17">
        <v>0</v>
      </c>
      <c r="K200" s="17" t="str">
        <f>SUMIFS(G200:J200,$G$14:$J$14,$K$13)</f>
        <v>0</v>
      </c>
      <c r="L200" s="17" t="str">
        <f>SUMIFS(G200:J200,$G$14:$J$14,$L$13)</f>
        <v>0</v>
      </c>
      <c r="M200" s="17"/>
      <c r="N200" s="17"/>
      <c r="O200" s="17"/>
      <c r="P200" s="17" t="str">
        <f>N200+O200</f>
        <v>0</v>
      </c>
      <c r="Q200" s="21"/>
      <c r="R200" s="1"/>
      <c r="S200" s="22" t="str">
        <f>K200+L200</f>
        <v>0</v>
      </c>
      <c r="T200" s="1"/>
      <c r="U200" s="1"/>
      <c r="V200" s="1"/>
      <c r="W200" s="1"/>
      <c r="X200" s="1"/>
      <c r="Y200" s="1"/>
      <c r="Z200" s="1"/>
    </row>
    <row r="201" spans="1:26" customHeight="1" ht="12.75">
      <c r="A201" s="1"/>
      <c r="B201" s="19" t="s">
        <v>136</v>
      </c>
      <c r="C201" s="34" t="s">
        <v>240</v>
      </c>
      <c r="D201" s="15" t="s">
        <v>39</v>
      </c>
      <c r="E201" s="16">
        <v>145000</v>
      </c>
      <c r="F201" s="16">
        <v>0</v>
      </c>
      <c r="G201" s="17">
        <v>0</v>
      </c>
      <c r="H201" s="17">
        <v>0</v>
      </c>
      <c r="I201" s="17">
        <v>0</v>
      </c>
      <c r="J201" s="17">
        <v>0</v>
      </c>
      <c r="K201" s="17" t="str">
        <f>SUMIFS(G201:J201,$G$14:$J$14,$K$13)</f>
        <v>0</v>
      </c>
      <c r="L201" s="17" t="str">
        <f>SUMIFS(G201:J201,$G$14:$J$14,$L$13)</f>
        <v>0</v>
      </c>
      <c r="M201" s="17"/>
      <c r="N201" s="17"/>
      <c r="O201" s="17"/>
      <c r="P201" s="17" t="str">
        <f>N201+O201</f>
        <v>0</v>
      </c>
      <c r="Q201" s="21"/>
      <c r="R201" s="1"/>
      <c r="S201" s="22" t="str">
        <f>K201+L201</f>
        <v>0</v>
      </c>
      <c r="T201" s="1"/>
      <c r="U201" s="1"/>
      <c r="V201" s="1"/>
      <c r="W201" s="1"/>
      <c r="X201" s="1"/>
      <c r="Y201" s="1"/>
      <c r="Z201" s="1"/>
    </row>
    <row r="202" spans="1:26" customHeight="1" ht="12.75">
      <c r="A202" s="1"/>
      <c r="B202" s="19" t="s">
        <v>138</v>
      </c>
      <c r="C202" s="34" t="s">
        <v>241</v>
      </c>
      <c r="D202" s="15" t="s">
        <v>125</v>
      </c>
      <c r="E202" s="16">
        <v>0</v>
      </c>
      <c r="F202" s="16">
        <v>84500</v>
      </c>
      <c r="G202" s="17">
        <v>0</v>
      </c>
      <c r="H202" s="17">
        <v>0</v>
      </c>
      <c r="I202" s="17">
        <v>0</v>
      </c>
      <c r="J202" s="17">
        <v>0</v>
      </c>
      <c r="K202" s="17" t="str">
        <f>SUMIFS(G202:J202,$G$14:$J$14,$K$13)</f>
        <v>0</v>
      </c>
      <c r="L202" s="17" t="str">
        <f>SUMIFS(G202:J202,$G$14:$J$14,$L$13)</f>
        <v>0</v>
      </c>
      <c r="M202" s="17"/>
      <c r="N202" s="17"/>
      <c r="O202" s="17"/>
      <c r="P202" s="17" t="str">
        <f>N202+O202</f>
        <v>0</v>
      </c>
      <c r="Q202" s="21"/>
      <c r="R202" s="1"/>
      <c r="S202" s="22" t="str">
        <f>K202+L202</f>
        <v>0</v>
      </c>
      <c r="T202" s="1"/>
      <c r="U202" s="1"/>
      <c r="V202" s="1"/>
      <c r="W202" s="1"/>
      <c r="X202" s="1"/>
      <c r="Y202" s="1"/>
      <c r="Z202" s="1"/>
    </row>
    <row r="203" spans="1:26" customHeight="1" ht="12.75">
      <c r="A203" s="1"/>
      <c r="B203" s="19" t="s">
        <v>140</v>
      </c>
      <c r="C203" s="34" t="s">
        <v>242</v>
      </c>
      <c r="D203" s="15" t="s">
        <v>125</v>
      </c>
      <c r="E203" s="16">
        <v>0</v>
      </c>
      <c r="F203" s="16">
        <v>45000</v>
      </c>
      <c r="G203" s="17">
        <v>0</v>
      </c>
      <c r="H203" s="17">
        <v>0</v>
      </c>
      <c r="I203" s="17">
        <v>0</v>
      </c>
      <c r="J203" s="17">
        <v>0</v>
      </c>
      <c r="K203" s="17" t="str">
        <f>SUMIFS(G203:J203,$G$14:$J$14,$K$13)</f>
        <v>0</v>
      </c>
      <c r="L203" s="17" t="str">
        <f>SUMIFS(G203:J203,$G$14:$J$14,$L$13)</f>
        <v>0</v>
      </c>
      <c r="M203" s="17"/>
      <c r="N203" s="17"/>
      <c r="O203" s="17"/>
      <c r="P203" s="17" t="str">
        <f>N203+O203</f>
        <v>0</v>
      </c>
      <c r="Q203" s="21"/>
      <c r="R203" s="1"/>
      <c r="S203" s="22" t="str">
        <f>K203+L203</f>
        <v>0</v>
      </c>
      <c r="T203" s="1"/>
      <c r="U203" s="1"/>
      <c r="V203" s="1"/>
      <c r="W203" s="1"/>
      <c r="X203" s="1"/>
      <c r="Y203" s="1"/>
      <c r="Z203" s="1"/>
    </row>
    <row r="204" spans="1:26" customHeight="1" ht="12.75">
      <c r="A204" s="1"/>
      <c r="B204" s="19" t="s">
        <v>142</v>
      </c>
      <c r="C204" s="34" t="s">
        <v>243</v>
      </c>
      <c r="D204" s="15" t="s">
        <v>55</v>
      </c>
      <c r="E204" s="16">
        <v>0</v>
      </c>
      <c r="F204" s="16">
        <v>0</v>
      </c>
      <c r="G204" s="17">
        <v>0</v>
      </c>
      <c r="H204" s="17">
        <v>0</v>
      </c>
      <c r="I204" s="17">
        <v>0</v>
      </c>
      <c r="J204" s="17">
        <v>0</v>
      </c>
      <c r="K204" s="17" t="str">
        <f>SUMIFS(G204:J204,$G$14:$J$14,$K$13)</f>
        <v>0</v>
      </c>
      <c r="L204" s="17" t="str">
        <f>SUMIFS(G204:J204,$G$14:$J$14,$L$13)</f>
        <v>0</v>
      </c>
      <c r="M204" s="17"/>
      <c r="N204" s="17"/>
      <c r="O204" s="17"/>
      <c r="P204" s="17" t="str">
        <f>N204+O204</f>
        <v>0</v>
      </c>
      <c r="Q204" s="21"/>
      <c r="R204" s="1"/>
      <c r="S204" s="22" t="str">
        <f>K204+L204</f>
        <v>0</v>
      </c>
      <c r="T204" s="1"/>
      <c r="U204" s="1"/>
      <c r="V204" s="1"/>
      <c r="W204" s="1"/>
      <c r="X204" s="1"/>
      <c r="Y204" s="1"/>
      <c r="Z204" s="1"/>
    </row>
    <row r="205" spans="1:26" customHeight="1" ht="12.75">
      <c r="A205" s="1"/>
      <c r="B205" s="19" t="s">
        <v>244</v>
      </c>
      <c r="C205" s="34" t="s">
        <v>245</v>
      </c>
      <c r="D205" s="15" t="s">
        <v>39</v>
      </c>
      <c r="E205" s="16">
        <v>0</v>
      </c>
      <c r="F205" s="16">
        <v>0</v>
      </c>
      <c r="G205" s="17">
        <v>0</v>
      </c>
      <c r="H205" s="17">
        <v>0</v>
      </c>
      <c r="I205" s="17">
        <v>0</v>
      </c>
      <c r="J205" s="17">
        <v>0</v>
      </c>
      <c r="K205" s="17" t="str">
        <f>SUMIFS(G205:J205,$G$14:$J$14,$K$13)</f>
        <v>0</v>
      </c>
      <c r="L205" s="17" t="str">
        <f>SUMIFS(G205:J205,$G$14:$J$14,$L$13)</f>
        <v>0</v>
      </c>
      <c r="M205" s="17"/>
      <c r="N205" s="17"/>
      <c r="O205" s="17"/>
      <c r="P205" s="17" t="str">
        <f>N205+O205</f>
        <v>0</v>
      </c>
      <c r="Q205" s="21"/>
      <c r="R205" s="1"/>
      <c r="S205" s="22" t="str">
        <f>K205+L205</f>
        <v>0</v>
      </c>
      <c r="T205" s="1"/>
      <c r="U205" s="1"/>
      <c r="V205" s="1"/>
      <c r="W205" s="1"/>
      <c r="X205" s="1"/>
      <c r="Y205" s="1"/>
      <c r="Z205" s="1"/>
    </row>
    <row r="206" spans="1:26" customHeight="1" ht="12.75">
      <c r="A206" s="1"/>
      <c r="B206" s="19" t="s">
        <v>246</v>
      </c>
      <c r="C206" s="34" t="s">
        <v>247</v>
      </c>
      <c r="D206" s="15" t="s">
        <v>39</v>
      </c>
      <c r="E206" s="16">
        <v>0</v>
      </c>
      <c r="F206" s="16">
        <v>0</v>
      </c>
      <c r="G206" s="17">
        <v>0</v>
      </c>
      <c r="H206" s="17">
        <v>0</v>
      </c>
      <c r="I206" s="17">
        <v>0</v>
      </c>
      <c r="J206" s="17">
        <v>0</v>
      </c>
      <c r="K206" s="17" t="str">
        <f>SUMIFS(G206:J206,$G$14:$J$14,$K$13)</f>
        <v>0</v>
      </c>
      <c r="L206" s="17" t="str">
        <f>SUMIFS(G206:J206,$G$14:$J$14,$L$13)</f>
        <v>0</v>
      </c>
      <c r="M206" s="17"/>
      <c r="N206" s="17"/>
      <c r="O206" s="17"/>
      <c r="P206" s="17" t="str">
        <f>N206+O206</f>
        <v>0</v>
      </c>
      <c r="Q206" s="21"/>
      <c r="R206" s="1"/>
      <c r="S206" s="22" t="str">
        <f>K206+L206</f>
        <v>0</v>
      </c>
      <c r="T206" s="1"/>
      <c r="U206" s="1"/>
      <c r="V206" s="1"/>
      <c r="W206" s="1"/>
      <c r="X206" s="1"/>
      <c r="Y206" s="1"/>
      <c r="Z206" s="1"/>
    </row>
    <row r="207" spans="1:26" customHeight="1" ht="12.75">
      <c r="A207" s="1"/>
      <c r="B207" s="19" t="s">
        <v>248</v>
      </c>
      <c r="C207" s="34" t="s">
        <v>249</v>
      </c>
      <c r="D207" s="15" t="s">
        <v>39</v>
      </c>
      <c r="E207" s="16">
        <v>0</v>
      </c>
      <c r="F207" s="16">
        <v>0</v>
      </c>
      <c r="G207" s="17">
        <v>0</v>
      </c>
      <c r="H207" s="17">
        <v>0</v>
      </c>
      <c r="I207" s="17">
        <v>0</v>
      </c>
      <c r="J207" s="17">
        <v>0</v>
      </c>
      <c r="K207" s="17" t="str">
        <f>SUMIFS(G207:J207,$G$14:$J$14,$K$13)</f>
        <v>0</v>
      </c>
      <c r="L207" s="17" t="str">
        <f>SUMIFS(G207:J207,$G$14:$J$14,$L$13)</f>
        <v>0</v>
      </c>
      <c r="M207" s="17"/>
      <c r="N207" s="17"/>
      <c r="O207" s="17"/>
      <c r="P207" s="17" t="str">
        <f>N207+O207</f>
        <v>0</v>
      </c>
      <c r="Q207" s="21"/>
      <c r="R207" s="1"/>
      <c r="S207" s="22" t="str">
        <f>K207+L207</f>
        <v>0</v>
      </c>
      <c r="T207" s="1"/>
      <c r="U207" s="1"/>
      <c r="V207" s="1"/>
      <c r="W207" s="1"/>
      <c r="X207" s="1"/>
      <c r="Y207" s="1"/>
      <c r="Z207" s="1"/>
    </row>
    <row r="208" spans="1:26" customHeight="1" ht="12.75">
      <c r="A208" s="1"/>
      <c r="B208" s="19" t="s">
        <v>250</v>
      </c>
      <c r="C208" s="34" t="s">
        <v>251</v>
      </c>
      <c r="D208" s="15" t="s">
        <v>39</v>
      </c>
      <c r="E208" s="16">
        <v>0</v>
      </c>
      <c r="F208" s="16">
        <v>0</v>
      </c>
      <c r="G208" s="17">
        <v>0</v>
      </c>
      <c r="H208" s="17">
        <v>0</v>
      </c>
      <c r="I208" s="17">
        <v>0</v>
      </c>
      <c r="J208" s="17">
        <v>0</v>
      </c>
      <c r="K208" s="17" t="str">
        <f>SUMIFS(G208:J208,$G$14:$J$14,$K$13)</f>
        <v>0</v>
      </c>
      <c r="L208" s="17" t="str">
        <f>SUMIFS(G208:J208,$G$14:$J$14,$L$13)</f>
        <v>0</v>
      </c>
      <c r="M208" s="17"/>
      <c r="N208" s="17"/>
      <c r="O208" s="17"/>
      <c r="P208" s="17" t="str">
        <f>N208+O208</f>
        <v>0</v>
      </c>
      <c r="Q208" s="21"/>
      <c r="R208" s="1"/>
      <c r="S208" s="22" t="str">
        <f>K208+L208</f>
        <v>0</v>
      </c>
      <c r="T208" s="1"/>
      <c r="U208" s="1"/>
      <c r="V208" s="1"/>
      <c r="W208" s="1"/>
      <c r="X208" s="1"/>
      <c r="Y208" s="1"/>
      <c r="Z208" s="1"/>
    </row>
    <row r="209" spans="1:26" customHeight="1" ht="12.75">
      <c r="A209" s="1"/>
      <c r="B209" s="19" t="s">
        <v>126</v>
      </c>
      <c r="C209" s="34" t="s">
        <v>252</v>
      </c>
      <c r="D209" s="15" t="s">
        <v>39</v>
      </c>
      <c r="E209" s="16">
        <v>0</v>
      </c>
      <c r="F209" s="16">
        <v>0</v>
      </c>
      <c r="G209" s="17">
        <v>0</v>
      </c>
      <c r="H209" s="17">
        <v>0</v>
      </c>
      <c r="I209" s="17">
        <v>0</v>
      </c>
      <c r="J209" s="17">
        <v>0</v>
      </c>
      <c r="K209" s="17" t="str">
        <f>SUMIFS(G209:J209,$G$14:$J$14,$K$13)</f>
        <v>0</v>
      </c>
      <c r="L209" s="17" t="str">
        <f>SUMIFS(G209:J209,$G$14:$J$14,$L$13)</f>
        <v>0</v>
      </c>
      <c r="M209" s="17"/>
      <c r="N209" s="17"/>
      <c r="O209" s="17"/>
      <c r="P209" s="17" t="str">
        <f>N209+O209</f>
        <v>0</v>
      </c>
      <c r="Q209" s="21"/>
      <c r="R209" s="1"/>
      <c r="S209" s="22" t="str">
        <f>K209+L209</f>
        <v>0</v>
      </c>
      <c r="T209" s="1"/>
      <c r="U209" s="1"/>
      <c r="V209" s="1"/>
      <c r="W209" s="1"/>
      <c r="X209" s="1"/>
      <c r="Y209" s="1"/>
      <c r="Z209" s="1"/>
    </row>
    <row r="210" spans="1:26" customHeight="1" ht="12.75">
      <c r="A210" s="1"/>
      <c r="B210" s="19" t="s">
        <v>253</v>
      </c>
      <c r="C210" s="34" t="s">
        <v>254</v>
      </c>
      <c r="D210" s="15" t="s">
        <v>39</v>
      </c>
      <c r="E210" s="16">
        <v>0</v>
      </c>
      <c r="F210" s="16">
        <v>0</v>
      </c>
      <c r="G210" s="17">
        <v>0</v>
      </c>
      <c r="H210" s="17">
        <v>0</v>
      </c>
      <c r="I210" s="17">
        <v>0</v>
      </c>
      <c r="J210" s="17">
        <v>0</v>
      </c>
      <c r="K210" s="17" t="str">
        <f>SUMIFS(G210:J210,$G$14:$J$14,$K$13)</f>
        <v>0</v>
      </c>
      <c r="L210" s="17" t="str">
        <f>SUMIFS(G210:J210,$G$14:$J$14,$L$13)</f>
        <v>0</v>
      </c>
      <c r="M210" s="17"/>
      <c r="N210" s="17"/>
      <c r="O210" s="17"/>
      <c r="P210" s="17" t="str">
        <f>N210+O210</f>
        <v>0</v>
      </c>
      <c r="Q210" s="21"/>
      <c r="R210" s="1"/>
      <c r="S210" s="22" t="str">
        <f>K210+L210</f>
        <v>0</v>
      </c>
      <c r="T210" s="1"/>
      <c r="U210" s="1"/>
      <c r="V210" s="1"/>
      <c r="W210" s="1"/>
      <c r="X210" s="1"/>
      <c r="Y210" s="1"/>
      <c r="Z210" s="1"/>
    </row>
    <row r="211" spans="1:26" customHeight="1" ht="12.75">
      <c r="A211" s="1"/>
      <c r="B211" s="19" t="s">
        <v>255</v>
      </c>
      <c r="C211" s="34" t="s">
        <v>256</v>
      </c>
      <c r="D211" s="15" t="s">
        <v>39</v>
      </c>
      <c r="E211" s="16">
        <v>0</v>
      </c>
      <c r="F211" s="16">
        <v>0</v>
      </c>
      <c r="G211" s="17">
        <v>0</v>
      </c>
      <c r="H211" s="17">
        <v>0</v>
      </c>
      <c r="I211" s="17">
        <v>0</v>
      </c>
      <c r="J211" s="17">
        <v>0</v>
      </c>
      <c r="K211" s="17" t="str">
        <f>SUMIFS(G211:J211,$G$14:$J$14,$K$13)</f>
        <v>0</v>
      </c>
      <c r="L211" s="17" t="str">
        <f>SUMIFS(G211:J211,$G$14:$J$14,$L$13)</f>
        <v>0</v>
      </c>
      <c r="M211" s="17"/>
      <c r="N211" s="17"/>
      <c r="O211" s="17"/>
      <c r="P211" s="17" t="str">
        <f>N211+O211</f>
        <v>0</v>
      </c>
      <c r="Q211" s="21"/>
      <c r="R211" s="1"/>
      <c r="S211" s="22" t="str">
        <f>K211+L211</f>
        <v>0</v>
      </c>
      <c r="T211" s="1"/>
      <c r="U211" s="1"/>
      <c r="V211" s="1"/>
      <c r="W211" s="1"/>
      <c r="X211" s="1"/>
      <c r="Y211" s="1"/>
      <c r="Z211" s="1"/>
    </row>
    <row r="212" spans="1:26" customHeight="1" ht="12.75">
      <c r="A212" s="1"/>
      <c r="B212" s="19" t="s">
        <v>257</v>
      </c>
      <c r="C212" s="34" t="s">
        <v>258</v>
      </c>
      <c r="D212" s="15" t="s">
        <v>39</v>
      </c>
      <c r="E212" s="16">
        <v>0</v>
      </c>
      <c r="F212" s="16">
        <v>0</v>
      </c>
      <c r="G212" s="17">
        <v>0</v>
      </c>
      <c r="H212" s="17">
        <v>1</v>
      </c>
      <c r="I212" s="17">
        <v>0</v>
      </c>
      <c r="J212" s="17">
        <v>0</v>
      </c>
      <c r="K212" s="17" t="str">
        <f>SUMIFS(G212:J212,$G$14:$J$14,$K$13)</f>
        <v>0</v>
      </c>
      <c r="L212" s="17" t="str">
        <f>SUMIFS(G212:J212,$G$14:$J$14,$L$13)</f>
        <v>0</v>
      </c>
      <c r="M212" s="17"/>
      <c r="N212" s="17"/>
      <c r="O212" s="17"/>
      <c r="P212" s="17" t="str">
        <f>N212+O212</f>
        <v>0</v>
      </c>
      <c r="Q212" s="21"/>
      <c r="R212" s="1"/>
      <c r="S212" s="22" t="str">
        <f>K212+L212</f>
        <v>0</v>
      </c>
      <c r="T212" s="1"/>
      <c r="U212" s="1"/>
      <c r="V212" s="1"/>
      <c r="W212" s="1"/>
      <c r="X212" s="1"/>
      <c r="Y212" s="1"/>
      <c r="Z212" s="1"/>
    </row>
    <row r="213" spans="1:26" customHeight="1" ht="12.75">
      <c r="A213" s="1"/>
      <c r="B213" s="19" t="s">
        <v>259</v>
      </c>
      <c r="C213" s="34" t="s">
        <v>260</v>
      </c>
      <c r="D213" s="15" t="s">
        <v>39</v>
      </c>
      <c r="E213" s="16">
        <v>0</v>
      </c>
      <c r="F213" s="16">
        <v>0</v>
      </c>
      <c r="G213" s="17">
        <v>0</v>
      </c>
      <c r="H213" s="17">
        <v>0</v>
      </c>
      <c r="I213" s="17">
        <v>0</v>
      </c>
      <c r="J213" s="17">
        <v>0</v>
      </c>
      <c r="K213" s="17" t="str">
        <f>SUMIFS(G213:J213,$G$14:$J$14,$K$13)</f>
        <v>0</v>
      </c>
      <c r="L213" s="17" t="str">
        <f>SUMIFS(G213:J213,$G$14:$J$14,$L$13)</f>
        <v>0</v>
      </c>
      <c r="M213" s="17"/>
      <c r="N213" s="17"/>
      <c r="O213" s="17"/>
      <c r="P213" s="17" t="str">
        <f>N213+O213</f>
        <v>0</v>
      </c>
      <c r="Q213" s="21"/>
      <c r="R213" s="1"/>
      <c r="S213" s="22" t="str">
        <f>K213+L213</f>
        <v>0</v>
      </c>
      <c r="T213" s="1"/>
      <c r="U213" s="1"/>
      <c r="V213" s="1"/>
      <c r="W213" s="1"/>
      <c r="X213" s="1"/>
      <c r="Y213" s="1"/>
      <c r="Z213" s="1"/>
    </row>
    <row r="214" spans="1:26" customHeight="1" ht="12.75">
      <c r="A214" s="1"/>
      <c r="B214" s="14" t="s">
        <v>261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 t="str">
        <f>K214+L214</f>
        <v>0</v>
      </c>
      <c r="T214" s="1"/>
      <c r="U214" s="18"/>
      <c r="V214" s="18"/>
      <c r="W214" s="18"/>
      <c r="X214" s="18"/>
      <c r="Y214" s="18"/>
      <c r="Z214" s="18"/>
    </row>
    <row r="215" spans="1:26" customHeight="1" ht="12.75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 t="str">
        <f>K215+L215</f>
        <v>0</v>
      </c>
      <c r="T215" s="1"/>
      <c r="U215" s="1"/>
      <c r="V215" s="1"/>
      <c r="W215" s="1"/>
      <c r="X215" s="1"/>
      <c r="Y215" s="1"/>
      <c r="Z215" s="1"/>
    </row>
    <row r="216" spans="1:26" customHeight="1" ht="12.75">
      <c r="A216" s="1"/>
      <c r="B216" s="13">
        <v>2.3</v>
      </c>
      <c r="C216" s="39" t="s">
        <v>262</v>
      </c>
      <c r="D216" s="15"/>
      <c r="E216" s="16"/>
      <c r="F216" s="16"/>
      <c r="G216" s="17">
        <v>0</v>
      </c>
      <c r="H216" s="17">
        <v>0</v>
      </c>
      <c r="I216" s="17">
        <v>0</v>
      </c>
      <c r="J216" s="17">
        <v>0</v>
      </c>
      <c r="K216" s="17"/>
      <c r="L216" s="17"/>
      <c r="M216" s="17"/>
      <c r="N216" s="17"/>
      <c r="O216" s="17"/>
      <c r="P216" s="17"/>
      <c r="Q216" s="21"/>
      <c r="R216" s="5"/>
      <c r="S216" s="22" t="str">
        <f>K216+L216</f>
        <v>0</v>
      </c>
      <c r="T216" s="1"/>
      <c r="U216" s="18"/>
      <c r="V216" s="18"/>
      <c r="W216" s="18"/>
      <c r="X216" s="18"/>
      <c r="Y216" s="18"/>
      <c r="Z216" s="18"/>
    </row>
    <row r="217" spans="1:26" customHeight="1" ht="12.75">
      <c r="A217" s="1"/>
      <c r="B217" s="19" t="s">
        <v>36</v>
      </c>
      <c r="C217" s="21" t="s">
        <v>263</v>
      </c>
      <c r="D217" s="15" t="s">
        <v>55</v>
      </c>
      <c r="E217" s="16">
        <v>0</v>
      </c>
      <c r="F217" s="16">
        <v>0</v>
      </c>
      <c r="G217" s="17">
        <v>0</v>
      </c>
      <c r="H217" s="17">
        <v>0</v>
      </c>
      <c r="I217" s="17">
        <v>0</v>
      </c>
      <c r="J217" s="17">
        <v>0</v>
      </c>
      <c r="K217" s="17" t="str">
        <f>SUMIFS(G217:J217,$G$14:$J$14,$K$13)</f>
        <v>0</v>
      </c>
      <c r="L217" s="17" t="str">
        <f>SUMIFS(G217:J217,$G$14:$J$14,$L$13)</f>
        <v>0</v>
      </c>
      <c r="M217" s="17"/>
      <c r="N217" s="17"/>
      <c r="O217" s="17"/>
      <c r="P217" s="17" t="str">
        <f>N217+O217</f>
        <v>0</v>
      </c>
      <c r="Q217" s="21"/>
      <c r="R217" s="5"/>
      <c r="S217" s="22" t="str">
        <f>K217+L217</f>
        <v>0</v>
      </c>
      <c r="T217" s="1"/>
      <c r="U217" s="1"/>
      <c r="V217" s="1"/>
      <c r="W217" s="1"/>
      <c r="X217" s="1"/>
      <c r="Y217" s="1"/>
      <c r="Z217" s="1"/>
    </row>
    <row r="218" spans="1:26" customHeight="1" ht="12.75">
      <c r="A218" s="1"/>
      <c r="B218" s="19"/>
      <c r="C218" s="21" t="s">
        <v>264</v>
      </c>
      <c r="D218" s="15" t="s">
        <v>55</v>
      </c>
      <c r="E218" s="16">
        <v>0</v>
      </c>
      <c r="F218" s="16">
        <v>210000</v>
      </c>
      <c r="G218" s="17">
        <v>0</v>
      </c>
      <c r="H218" s="17">
        <v>0</v>
      </c>
      <c r="I218" s="17">
        <v>0</v>
      </c>
      <c r="J218" s="17">
        <v>0</v>
      </c>
      <c r="K218" s="17" t="str">
        <f>SUMIFS(G218:J218,$G$14:$J$14,$K$13)</f>
        <v>0</v>
      </c>
      <c r="L218" s="17" t="str">
        <f>SUMIFS(G218:J218,$G$14:$J$14,$L$13)</f>
        <v>0</v>
      </c>
      <c r="M218" s="17"/>
      <c r="N218" s="17"/>
      <c r="O218" s="17"/>
      <c r="P218" s="17" t="str">
        <f>N218+O218</f>
        <v>0</v>
      </c>
      <c r="Q218" s="21"/>
      <c r="R218" s="5"/>
      <c r="S218" s="22" t="str">
        <f>K218+L218</f>
        <v>0</v>
      </c>
      <c r="T218" s="1"/>
      <c r="U218" s="1"/>
      <c r="V218" s="1"/>
      <c r="W218" s="1"/>
      <c r="X218" s="1"/>
      <c r="Y218" s="1"/>
      <c r="Z218" s="1"/>
    </row>
    <row r="219" spans="1:26" customHeight="1" ht="12.75">
      <c r="A219" s="1"/>
      <c r="B219" s="19" t="s">
        <v>67</v>
      </c>
      <c r="C219" s="21" t="s">
        <v>265</v>
      </c>
      <c r="D219" s="15" t="s">
        <v>55</v>
      </c>
      <c r="E219" s="16">
        <v>0</v>
      </c>
      <c r="F219" s="16">
        <v>0</v>
      </c>
      <c r="G219" s="17">
        <v>0</v>
      </c>
      <c r="H219" s="17">
        <v>0</v>
      </c>
      <c r="I219" s="17">
        <v>0</v>
      </c>
      <c r="J219" s="17">
        <v>0</v>
      </c>
      <c r="K219" s="17" t="str">
        <f>SUMIFS(G219:J219,$G$14:$J$14,$K$13)</f>
        <v>0</v>
      </c>
      <c r="L219" s="17" t="str">
        <f>SUMIFS(G219:J219,$G$14:$J$14,$L$13)</f>
        <v>0</v>
      </c>
      <c r="M219" s="17"/>
      <c r="N219" s="17"/>
      <c r="O219" s="17"/>
      <c r="P219" s="17" t="str">
        <f>N219+O219</f>
        <v>0</v>
      </c>
      <c r="Q219" s="21"/>
      <c r="R219" s="5"/>
      <c r="S219" s="22" t="str">
        <f>K219+L219</f>
        <v>0</v>
      </c>
      <c r="T219" s="1"/>
      <c r="U219" s="1"/>
      <c r="V219" s="1"/>
      <c r="W219" s="1"/>
      <c r="X219" s="1"/>
      <c r="Y219" s="1"/>
      <c r="Z219" s="1"/>
    </row>
    <row r="220" spans="1:26" customHeight="1" ht="12.75">
      <c r="A220" s="1"/>
      <c r="B220" s="19"/>
      <c r="C220" s="21" t="s">
        <v>266</v>
      </c>
      <c r="D220" s="15" t="s">
        <v>55</v>
      </c>
      <c r="E220" s="16">
        <v>0</v>
      </c>
      <c r="F220" s="16">
        <v>235000</v>
      </c>
      <c r="G220" s="17">
        <v>0</v>
      </c>
      <c r="H220" s="17">
        <v>0</v>
      </c>
      <c r="I220" s="17">
        <v>0</v>
      </c>
      <c r="J220" s="17">
        <v>0</v>
      </c>
      <c r="K220" s="17" t="str">
        <f>SUMIFS(G220:J220,$G$14:$J$14,$K$13)</f>
        <v>0</v>
      </c>
      <c r="L220" s="17" t="str">
        <f>SUMIFS(G220:J220,$G$14:$J$14,$L$13)</f>
        <v>0</v>
      </c>
      <c r="M220" s="17"/>
      <c r="N220" s="17"/>
      <c r="O220" s="17"/>
      <c r="P220" s="17" t="str">
        <f>N220+O220</f>
        <v>0</v>
      </c>
      <c r="Q220" s="21"/>
      <c r="R220" s="5"/>
      <c r="S220" s="22" t="str">
        <f>K220+L220</f>
        <v>0</v>
      </c>
      <c r="T220" s="1"/>
      <c r="U220" s="1"/>
      <c r="V220" s="1"/>
      <c r="W220" s="1"/>
      <c r="X220" s="1"/>
      <c r="Y220" s="1"/>
      <c r="Z220" s="1"/>
    </row>
    <row r="221" spans="1:26" customHeight="1" ht="12.75">
      <c r="A221" s="1"/>
      <c r="B221" s="19" t="s">
        <v>84</v>
      </c>
      <c r="C221" s="21" t="s">
        <v>267</v>
      </c>
      <c r="D221" s="15" t="s">
        <v>55</v>
      </c>
      <c r="E221" s="16">
        <v>0</v>
      </c>
      <c r="F221" s="16">
        <v>0</v>
      </c>
      <c r="G221" s="17">
        <v>0</v>
      </c>
      <c r="H221" s="17">
        <v>0</v>
      </c>
      <c r="I221" s="17">
        <v>0</v>
      </c>
      <c r="J221" s="17">
        <v>0</v>
      </c>
      <c r="K221" s="17" t="str">
        <f>SUMIFS(G221:J221,$G$14:$J$14,$K$13)</f>
        <v>0</v>
      </c>
      <c r="L221" s="17" t="str">
        <f>SUMIFS(G221:J221,$G$14:$J$14,$L$13)</f>
        <v>0</v>
      </c>
      <c r="M221" s="17"/>
      <c r="N221" s="17"/>
      <c r="O221" s="17" t="str">
        <f>L221*F221</f>
        <v>0</v>
      </c>
      <c r="P221" s="17" t="str">
        <f>N221+O221</f>
        <v>0</v>
      </c>
      <c r="Q221" s="21"/>
      <c r="R221" s="5"/>
      <c r="S221" s="22" t="str">
        <f>K221+L221</f>
        <v>0</v>
      </c>
      <c r="T221" s="1"/>
      <c r="U221" s="1"/>
      <c r="V221" s="1"/>
      <c r="W221" s="1"/>
      <c r="X221" s="1"/>
      <c r="Y221" s="1"/>
      <c r="Z221" s="1"/>
    </row>
    <row r="222" spans="1:26" customHeight="1" ht="12.75">
      <c r="A222" s="1"/>
      <c r="B222" s="19"/>
      <c r="C222" s="21" t="s">
        <v>268</v>
      </c>
      <c r="D222" s="15" t="s">
        <v>55</v>
      </c>
      <c r="E222" s="16">
        <v>0</v>
      </c>
      <c r="F222" s="16">
        <v>200000</v>
      </c>
      <c r="G222" s="17">
        <v>0</v>
      </c>
      <c r="H222" s="17">
        <v>0</v>
      </c>
      <c r="I222" s="17">
        <v>0</v>
      </c>
      <c r="J222" s="17">
        <v>0</v>
      </c>
      <c r="K222" s="17" t="str">
        <f>SUMIFS(G222:J222,$G$14:$J$14,$K$13)</f>
        <v>0</v>
      </c>
      <c r="L222" s="17" t="str">
        <f>SUMIFS(G222:J222,$G$14:$J$14,$L$13)</f>
        <v>0</v>
      </c>
      <c r="M222" s="17"/>
      <c r="N222" s="17"/>
      <c r="O222" s="17" t="str">
        <f>L222*F222</f>
        <v>0</v>
      </c>
      <c r="P222" s="17" t="str">
        <f>N222+O222</f>
        <v>0</v>
      </c>
      <c r="Q222" s="21"/>
      <c r="R222" s="5"/>
      <c r="S222" s="22" t="str">
        <f>K222+L222</f>
        <v>0</v>
      </c>
      <c r="T222" s="1"/>
      <c r="U222" s="1"/>
      <c r="V222" s="1"/>
      <c r="W222" s="1"/>
      <c r="X222" s="1"/>
      <c r="Y222" s="1"/>
      <c r="Z222" s="1"/>
    </row>
    <row r="223" spans="1:26" customHeight="1" ht="12.75">
      <c r="A223" s="1"/>
      <c r="B223" s="19" t="s">
        <v>88</v>
      </c>
      <c r="C223" s="21" t="s">
        <v>269</v>
      </c>
      <c r="D223" s="15" t="s">
        <v>55</v>
      </c>
      <c r="E223" s="16">
        <v>0</v>
      </c>
      <c r="F223" s="16">
        <v>0</v>
      </c>
      <c r="G223" s="17">
        <v>0</v>
      </c>
      <c r="H223" s="17">
        <v>0</v>
      </c>
      <c r="I223" s="17">
        <v>0</v>
      </c>
      <c r="J223" s="17">
        <v>0</v>
      </c>
      <c r="K223" s="17" t="str">
        <f>SUMIFS(G223:J223,$G$14:$J$14,$K$13)</f>
        <v>0</v>
      </c>
      <c r="L223" s="17" t="str">
        <f>SUMIFS(G223:J223,$G$14:$J$14,$L$13)</f>
        <v>0</v>
      </c>
      <c r="M223" s="17"/>
      <c r="N223" s="17"/>
      <c r="O223" s="17"/>
      <c r="P223" s="17" t="str">
        <f>N223+O223</f>
        <v>0</v>
      </c>
      <c r="Q223" s="21"/>
      <c r="R223" s="5"/>
      <c r="S223" s="22" t="str">
        <f>K223+L223</f>
        <v>0</v>
      </c>
      <c r="T223" s="1"/>
      <c r="U223" s="1"/>
      <c r="V223" s="1"/>
      <c r="W223" s="1"/>
      <c r="X223" s="1"/>
      <c r="Y223" s="1"/>
      <c r="Z223" s="1"/>
    </row>
    <row r="224" spans="1:26" customHeight="1" ht="12.75">
      <c r="A224" s="1"/>
      <c r="B224" s="19"/>
      <c r="C224" s="21" t="s">
        <v>270</v>
      </c>
      <c r="D224" s="15" t="s">
        <v>55</v>
      </c>
      <c r="E224" s="16">
        <v>0</v>
      </c>
      <c r="F224" s="16">
        <v>235000</v>
      </c>
      <c r="G224" s="17">
        <v>0</v>
      </c>
      <c r="H224" s="17">
        <v>0</v>
      </c>
      <c r="I224" s="17">
        <v>0</v>
      </c>
      <c r="J224" s="17">
        <v>0</v>
      </c>
      <c r="K224" s="17" t="str">
        <f>SUMIFS(G224:J224,$G$14:$J$14,$K$13)</f>
        <v>0</v>
      </c>
      <c r="L224" s="17" t="str">
        <f>SUMIFS(G224:J224,$G$14:$J$14,$L$13)</f>
        <v>0</v>
      </c>
      <c r="M224" s="17"/>
      <c r="N224" s="17"/>
      <c r="O224" s="17" t="str">
        <f>L224*F224</f>
        <v>0</v>
      </c>
      <c r="P224" s="17" t="str">
        <f>N224+O224</f>
        <v>0</v>
      </c>
      <c r="Q224" s="21"/>
      <c r="R224" s="5"/>
      <c r="S224" s="22" t="str">
        <f>K224+L224</f>
        <v>0</v>
      </c>
      <c r="T224" s="1"/>
      <c r="U224" s="1"/>
      <c r="V224" s="1"/>
      <c r="W224" s="1"/>
      <c r="X224" s="1"/>
      <c r="Y224" s="1"/>
      <c r="Z224" s="1"/>
    </row>
    <row r="225" spans="1:26" customHeight="1" ht="12.75">
      <c r="A225" s="1"/>
      <c r="B225" s="19" t="s">
        <v>92</v>
      </c>
      <c r="C225" s="21" t="s">
        <v>271</v>
      </c>
      <c r="D225" s="15" t="s">
        <v>55</v>
      </c>
      <c r="E225" s="16">
        <v>0</v>
      </c>
      <c r="F225" s="16">
        <v>0</v>
      </c>
      <c r="G225" s="17">
        <v>1</v>
      </c>
      <c r="H225" s="17">
        <v>0</v>
      </c>
      <c r="I225" s="17">
        <v>0</v>
      </c>
      <c r="J225" s="17">
        <v>0</v>
      </c>
      <c r="K225" s="17" t="str">
        <f>SUMIFS(G225:J225,$G$14:$J$14,$K$13)</f>
        <v>0</v>
      </c>
      <c r="L225" s="17" t="str">
        <f>SUMIFS(G225:J225,$G$14:$J$14,$L$13)</f>
        <v>0</v>
      </c>
      <c r="M225" s="17"/>
      <c r="N225" s="17"/>
      <c r="O225" s="17" t="str">
        <f>L225*F225</f>
        <v>0</v>
      </c>
      <c r="P225" s="17" t="str">
        <f>N225+O225</f>
        <v>0</v>
      </c>
      <c r="Q225" s="21" t="s">
        <v>40</v>
      </c>
      <c r="R225" s="5"/>
      <c r="S225" s="22" t="str">
        <f>K225+L225</f>
        <v>0</v>
      </c>
      <c r="T225" s="1"/>
      <c r="U225" s="1"/>
      <c r="V225" s="1"/>
      <c r="W225" s="1"/>
      <c r="X225" s="1"/>
      <c r="Y225" s="1"/>
      <c r="Z225" s="1"/>
    </row>
    <row r="226" spans="1:26" customHeight="1" ht="12.75">
      <c r="A226" s="1"/>
      <c r="B226" s="19"/>
      <c r="C226" s="21" t="s">
        <v>272</v>
      </c>
      <c r="D226" s="15" t="s">
        <v>55</v>
      </c>
      <c r="E226" s="16">
        <v>0</v>
      </c>
      <c r="F226" s="16">
        <v>200000</v>
      </c>
      <c r="G226" s="17">
        <v>0</v>
      </c>
      <c r="H226" s="17">
        <v>1</v>
      </c>
      <c r="I226" s="17">
        <v>0</v>
      </c>
      <c r="J226" s="17">
        <v>0</v>
      </c>
      <c r="K226" s="17" t="str">
        <f>SUMIFS(G226:J226,$G$14:$J$14,$K$13)</f>
        <v>0</v>
      </c>
      <c r="L226" s="17" t="str">
        <f>SUMIFS(G226:J226,$G$14:$J$14,$L$13)</f>
        <v>0</v>
      </c>
      <c r="M226" s="17"/>
      <c r="N226" s="17"/>
      <c r="O226" s="17" t="str">
        <f>L226*F226</f>
        <v>0</v>
      </c>
      <c r="P226" s="17" t="str">
        <f>N226+O226</f>
        <v>0</v>
      </c>
      <c r="Q226" s="21"/>
      <c r="R226" s="5"/>
      <c r="S226" s="22" t="str">
        <f>K226+L226</f>
        <v>0</v>
      </c>
      <c r="T226" s="1"/>
      <c r="U226" s="1"/>
      <c r="V226" s="1"/>
      <c r="W226" s="1"/>
      <c r="X226" s="1"/>
      <c r="Y226" s="1"/>
      <c r="Z226" s="1"/>
    </row>
    <row r="227" spans="1:26" customHeight="1" ht="12.75">
      <c r="A227" s="1"/>
      <c r="B227" s="19"/>
      <c r="C227" s="21" t="s">
        <v>273</v>
      </c>
      <c r="D227" s="15" t="s">
        <v>82</v>
      </c>
      <c r="E227" s="16">
        <v>0</v>
      </c>
      <c r="F227" s="16">
        <v>0</v>
      </c>
      <c r="G227" s="33">
        <v>5</v>
      </c>
      <c r="H227" s="33">
        <v>0</v>
      </c>
      <c r="I227" s="33">
        <v>0</v>
      </c>
      <c r="J227" s="33">
        <v>0</v>
      </c>
      <c r="K227" s="33" t="str">
        <f>SUMIFS(G227:J227,$G$14:$J$14,$K$13)</f>
        <v>0</v>
      </c>
      <c r="L227" s="33" t="str">
        <f>SUMIFS(G227:J227,$G$14:$J$14,$L$13)</f>
        <v>0</v>
      </c>
      <c r="M227" s="17"/>
      <c r="N227" s="17"/>
      <c r="O227" s="17"/>
      <c r="P227" s="17" t="str">
        <f>N227+O227</f>
        <v>0</v>
      </c>
      <c r="Q227" s="21"/>
      <c r="R227" s="5"/>
      <c r="S227" s="22" t="str">
        <f>K227+L227</f>
        <v>0</v>
      </c>
      <c r="T227" s="1"/>
      <c r="U227" s="1"/>
      <c r="V227" s="1"/>
      <c r="W227" s="1"/>
      <c r="X227" s="1"/>
      <c r="Y227" s="1"/>
      <c r="Z227" s="1"/>
    </row>
    <row r="228" spans="1:26" customHeight="1" ht="12.75">
      <c r="A228" s="1"/>
      <c r="B228" s="19"/>
      <c r="C228" s="21" t="s">
        <v>274</v>
      </c>
      <c r="D228" s="15" t="s">
        <v>82</v>
      </c>
      <c r="E228" s="16">
        <v>0</v>
      </c>
      <c r="F228" s="16">
        <v>150000</v>
      </c>
      <c r="G228" s="33">
        <v>0</v>
      </c>
      <c r="H228" s="33">
        <v>5</v>
      </c>
      <c r="I228" s="33">
        <v>0</v>
      </c>
      <c r="J228" s="33">
        <v>0</v>
      </c>
      <c r="K228" s="33" t="str">
        <f>SUMIFS(G228:J228,$G$14:$J$14,$K$13)</f>
        <v>0</v>
      </c>
      <c r="L228" s="33" t="str">
        <f>SUMIFS(G228:J228,$G$14:$J$14,$L$13)</f>
        <v>0</v>
      </c>
      <c r="M228" s="33"/>
      <c r="N228" s="33"/>
      <c r="O228" s="17" t="str">
        <f>L228*F228</f>
        <v>0</v>
      </c>
      <c r="P228" s="17" t="str">
        <f>N228+O228</f>
        <v>0</v>
      </c>
      <c r="Q228" s="21"/>
      <c r="R228" s="5"/>
      <c r="S228" s="22" t="str">
        <f>K228+L228</f>
        <v>0</v>
      </c>
      <c r="T228" s="1"/>
      <c r="U228" s="1"/>
      <c r="V228" s="1"/>
      <c r="W228" s="1"/>
      <c r="X228" s="1"/>
      <c r="Y228" s="1"/>
      <c r="Z228" s="1"/>
    </row>
    <row r="229" spans="1:26" customHeight="1" ht="12.75">
      <c r="A229" s="1"/>
      <c r="B229" s="19" t="s">
        <v>104</v>
      </c>
      <c r="C229" s="21" t="s">
        <v>275</v>
      </c>
      <c r="D229" s="15"/>
      <c r="E229" s="16">
        <v>0</v>
      </c>
      <c r="F229" s="16">
        <v>0</v>
      </c>
      <c r="G229" s="17">
        <v>0</v>
      </c>
      <c r="H229" s="17">
        <v>0</v>
      </c>
      <c r="I229" s="17">
        <v>0</v>
      </c>
      <c r="J229" s="17">
        <v>0</v>
      </c>
      <c r="K229" s="17" t="str">
        <f>SUMIFS(G229:J229,$G$14:$J$14,$K$13)</f>
        <v>0</v>
      </c>
      <c r="L229" s="17" t="str">
        <f>SUMIFS(G229:J229,$G$14:$J$14,$L$13)</f>
        <v>0</v>
      </c>
      <c r="M229" s="17"/>
      <c r="N229" s="17"/>
      <c r="O229" s="17"/>
      <c r="P229" s="17" t="str">
        <f>N229+O229</f>
        <v>0</v>
      </c>
      <c r="Q229" s="21"/>
      <c r="R229" s="5"/>
      <c r="S229" s="22" t="str">
        <f>K229+L229</f>
        <v>0</v>
      </c>
      <c r="T229" s="1"/>
      <c r="U229" s="1"/>
      <c r="V229" s="1"/>
      <c r="W229" s="1"/>
      <c r="X229" s="1"/>
      <c r="Y229" s="1"/>
      <c r="Z229" s="1"/>
    </row>
    <row r="230" spans="1:26" customHeight="1" ht="12.75">
      <c r="A230" s="1"/>
      <c r="B230" s="19"/>
      <c r="C230" s="21" t="s">
        <v>276</v>
      </c>
      <c r="D230" s="15" t="s">
        <v>55</v>
      </c>
      <c r="E230" s="16">
        <v>675000</v>
      </c>
      <c r="F230" s="16">
        <v>0</v>
      </c>
      <c r="G230" s="17">
        <v>0</v>
      </c>
      <c r="H230" s="17">
        <v>0</v>
      </c>
      <c r="I230" s="17">
        <v>0</v>
      </c>
      <c r="J230" s="17">
        <v>0</v>
      </c>
      <c r="K230" s="17" t="str">
        <f>SUMIFS(G230:J230,$G$14:$J$14,$K$13)</f>
        <v>0</v>
      </c>
      <c r="L230" s="17" t="str">
        <f>SUMIFS(G230:J230,$G$14:$J$14,$L$13)</f>
        <v>0</v>
      </c>
      <c r="M230" s="17"/>
      <c r="N230" s="17"/>
      <c r="O230" s="17"/>
      <c r="P230" s="17" t="str">
        <f>N230+O230</f>
        <v>0</v>
      </c>
      <c r="Q230" s="21"/>
      <c r="R230" s="5"/>
      <c r="S230" s="22" t="str">
        <f>K230+L230</f>
        <v>0</v>
      </c>
      <c r="T230" s="1"/>
      <c r="U230" s="1"/>
      <c r="V230" s="1"/>
      <c r="W230" s="1"/>
      <c r="X230" s="1"/>
      <c r="Y230" s="1"/>
      <c r="Z230" s="1"/>
    </row>
    <row r="231" spans="1:26" customHeight="1" ht="12.75">
      <c r="A231" s="1"/>
      <c r="B231" s="19"/>
      <c r="C231" s="21" t="s">
        <v>277</v>
      </c>
      <c r="D231" s="15" t="s">
        <v>55</v>
      </c>
      <c r="E231" s="16">
        <v>2125000</v>
      </c>
      <c r="F231" s="16">
        <v>0</v>
      </c>
      <c r="G231" s="17">
        <v>0</v>
      </c>
      <c r="H231" s="17">
        <v>0</v>
      </c>
      <c r="I231" s="17">
        <v>0</v>
      </c>
      <c r="J231" s="17">
        <v>0</v>
      </c>
      <c r="K231" s="17" t="str">
        <f>SUMIFS(G231:J231,$G$14:$J$14,$K$13)</f>
        <v>0</v>
      </c>
      <c r="L231" s="17" t="str">
        <f>SUMIFS(G231:J231,$G$14:$J$14,$L$13)</f>
        <v>0</v>
      </c>
      <c r="M231" s="17"/>
      <c r="N231" s="17"/>
      <c r="O231" s="17"/>
      <c r="P231" s="17" t="str">
        <f>N231+O231</f>
        <v>0</v>
      </c>
      <c r="Q231" s="21"/>
      <c r="R231" s="5"/>
      <c r="S231" s="22" t="str">
        <f>K231+L231</f>
        <v>0</v>
      </c>
      <c r="T231" s="1"/>
      <c r="U231" s="1"/>
      <c r="V231" s="1"/>
      <c r="W231" s="1"/>
      <c r="X231" s="1"/>
      <c r="Y231" s="1"/>
      <c r="Z231" s="1"/>
    </row>
    <row r="232" spans="1:26" customHeight="1" ht="12.75">
      <c r="A232" s="1"/>
      <c r="B232" s="19"/>
      <c r="C232" s="21" t="s">
        <v>278</v>
      </c>
      <c r="D232" s="15" t="s">
        <v>55</v>
      </c>
      <c r="E232" s="16">
        <v>1915000</v>
      </c>
      <c r="F232" s="16">
        <v>0</v>
      </c>
      <c r="G232" s="17">
        <v>0</v>
      </c>
      <c r="H232" s="17">
        <v>0</v>
      </c>
      <c r="I232" s="17">
        <v>0</v>
      </c>
      <c r="J232" s="17">
        <v>0</v>
      </c>
      <c r="K232" s="17" t="str">
        <f>SUMIFS(G232:J232,$G$14:$J$14,$K$13)</f>
        <v>0</v>
      </c>
      <c r="L232" s="17" t="str">
        <f>SUMIFS(G232:J232,$G$14:$J$14,$L$13)</f>
        <v>0</v>
      </c>
      <c r="M232" s="17"/>
      <c r="N232" s="17"/>
      <c r="O232" s="17"/>
      <c r="P232" s="17" t="str">
        <f>N232+O232</f>
        <v>0</v>
      </c>
      <c r="Q232" s="21"/>
      <c r="R232" s="1"/>
      <c r="S232" s="22" t="str">
        <f>K232+L232</f>
        <v>0</v>
      </c>
      <c r="T232" s="1"/>
      <c r="U232" s="1"/>
      <c r="V232" s="1"/>
      <c r="W232" s="1"/>
      <c r="X232" s="1"/>
      <c r="Y232" s="1"/>
      <c r="Z232" s="1"/>
    </row>
    <row r="233" spans="1:26" customHeight="1" ht="12.75">
      <c r="A233" s="1"/>
      <c r="B233" s="19" t="s">
        <v>107</v>
      </c>
      <c r="C233" s="21" t="s">
        <v>279</v>
      </c>
      <c r="D233" s="15" t="s">
        <v>55</v>
      </c>
      <c r="E233" s="16">
        <v>190000</v>
      </c>
      <c r="F233" s="16">
        <v>0</v>
      </c>
      <c r="G233" s="17">
        <v>12</v>
      </c>
      <c r="H233" s="17">
        <v>12</v>
      </c>
      <c r="I233" s="17">
        <v>1</v>
      </c>
      <c r="J233" s="17">
        <v>1</v>
      </c>
      <c r="K233" s="17" t="str">
        <f>SUMIFS(G233:J233,$G$14:$J$14,$K$13)</f>
        <v>0</v>
      </c>
      <c r="L233" s="17" t="str">
        <f>SUMIFS(G233:J233,$G$14:$J$14,$L$13)</f>
        <v>0</v>
      </c>
      <c r="M233" s="17"/>
      <c r="N233" s="17"/>
      <c r="O233" s="17" t="str">
        <f>K233*E233</f>
        <v>0</v>
      </c>
      <c r="P233" s="17" t="str">
        <f>N233+O233</f>
        <v>0</v>
      </c>
      <c r="Q233" s="21"/>
      <c r="R233" s="1"/>
      <c r="S233" s="22" t="str">
        <f>K233+L233</f>
        <v>0</v>
      </c>
      <c r="T233" s="1"/>
      <c r="U233" s="1"/>
      <c r="V233" s="1"/>
      <c r="W233" s="1"/>
      <c r="X233" s="1"/>
      <c r="Y233" s="1"/>
      <c r="Z233" s="1"/>
    </row>
    <row r="234" spans="1:26" customHeight="1" ht="12.75">
      <c r="A234" s="1"/>
      <c r="B234" s="19" t="s">
        <v>123</v>
      </c>
      <c r="C234" s="21" t="s">
        <v>280</v>
      </c>
      <c r="D234" s="15" t="s">
        <v>39</v>
      </c>
      <c r="E234" s="16">
        <v>22500</v>
      </c>
      <c r="F234" s="16">
        <v>0</v>
      </c>
      <c r="G234" s="17">
        <v>196</v>
      </c>
      <c r="H234" s="17">
        <v>196</v>
      </c>
      <c r="I234" s="17">
        <v>0</v>
      </c>
      <c r="J234" s="17">
        <v>0</v>
      </c>
      <c r="K234" s="17" t="str">
        <f>SUMIFS(G234:J234,$G$14:$J$14,$K$13)</f>
        <v>0</v>
      </c>
      <c r="L234" s="17" t="str">
        <f>SUMIFS(G234:J234,$G$14:$J$14,$L$13)</f>
        <v>0</v>
      </c>
      <c r="M234" s="17"/>
      <c r="N234" s="17"/>
      <c r="O234" s="17" t="str">
        <f>K234*E234</f>
        <v>0</v>
      </c>
      <c r="P234" s="17" t="str">
        <f>N234+O234</f>
        <v>0</v>
      </c>
      <c r="Q234" s="21"/>
      <c r="R234" s="1"/>
      <c r="S234" s="22" t="str">
        <f>K234+L234</f>
        <v>0</v>
      </c>
      <c r="T234" s="1"/>
      <c r="U234" s="1"/>
      <c r="V234" s="1"/>
      <c r="W234" s="1"/>
      <c r="X234" s="1"/>
      <c r="Y234" s="1"/>
      <c r="Z234" s="1"/>
    </row>
    <row r="235" spans="1:26" customHeight="1" ht="12.75">
      <c r="A235" s="1"/>
      <c r="B235" s="19" t="s">
        <v>235</v>
      </c>
      <c r="C235" s="32" t="s">
        <v>281</v>
      </c>
      <c r="D235" s="19" t="s">
        <v>55</v>
      </c>
      <c r="E235" s="16">
        <v>0</v>
      </c>
      <c r="F235" s="16">
        <v>0</v>
      </c>
      <c r="G235" s="17">
        <v>0</v>
      </c>
      <c r="H235" s="17">
        <v>0</v>
      </c>
      <c r="I235" s="17">
        <v>0</v>
      </c>
      <c r="J235" s="17">
        <v>0</v>
      </c>
      <c r="K235" s="17" t="str">
        <f>SUMIFS(G235:J235,$G$14:$J$14,$K$13)</f>
        <v>0</v>
      </c>
      <c r="L235" s="17" t="str">
        <f>SUMIFS(G235:J235,$G$14:$J$14,$L$13)</f>
        <v>0</v>
      </c>
      <c r="M235" s="17"/>
      <c r="N235" s="17"/>
      <c r="O235" s="17"/>
      <c r="P235" s="17" t="str">
        <f>N235+O235</f>
        <v>0</v>
      </c>
      <c r="Q235" s="21"/>
      <c r="R235" s="1"/>
      <c r="S235" s="22" t="str">
        <f>K235+L235</f>
        <v>0</v>
      </c>
      <c r="T235" s="1"/>
      <c r="U235" s="1"/>
      <c r="V235" s="1"/>
      <c r="W235" s="1"/>
      <c r="X235" s="1"/>
      <c r="Y235" s="1"/>
      <c r="Z235" s="1"/>
    </row>
    <row r="236" spans="1:26" customHeight="1" ht="12.75">
      <c r="A236" s="1"/>
      <c r="B236" s="19"/>
      <c r="C236" s="35" t="s">
        <v>282</v>
      </c>
      <c r="D236" s="15" t="s">
        <v>125</v>
      </c>
      <c r="E236" s="16">
        <v>7000</v>
      </c>
      <c r="F236" s="16">
        <v>0</v>
      </c>
      <c r="G236" s="17">
        <v>44</v>
      </c>
      <c r="H236" s="17">
        <v>44</v>
      </c>
      <c r="I236" s="17">
        <v>4</v>
      </c>
      <c r="J236" s="17">
        <v>4</v>
      </c>
      <c r="K236" s="17" t="str">
        <f>SUMIFS(G236:J236,$G$14:$J$14,$K$13)</f>
        <v>0</v>
      </c>
      <c r="L236" s="17" t="str">
        <f>SUMIFS(G236:J236,$G$14:$J$14,$L$13)</f>
        <v>0</v>
      </c>
      <c r="M236" s="17"/>
      <c r="N236" s="17" t="str">
        <f>K236*E236</f>
        <v>0</v>
      </c>
      <c r="O236" s="17" t="str">
        <f>L236*F236</f>
        <v>0</v>
      </c>
      <c r="P236" s="17" t="str">
        <f>N236+O236</f>
        <v>0</v>
      </c>
      <c r="Q236" s="21"/>
      <c r="R236" s="1"/>
      <c r="S236" s="22" t="str">
        <f>K236+L236</f>
        <v>0</v>
      </c>
      <c r="T236" s="1"/>
      <c r="U236" s="1"/>
      <c r="V236" s="1"/>
      <c r="W236" s="1"/>
      <c r="X236" s="1"/>
      <c r="Y236" s="1"/>
      <c r="Z236" s="1"/>
    </row>
    <row r="237" spans="1:26" customHeight="1" ht="12.75">
      <c r="A237" s="1"/>
      <c r="B237" s="19"/>
      <c r="C237" s="35" t="s">
        <v>283</v>
      </c>
      <c r="D237" s="15" t="s">
        <v>125</v>
      </c>
      <c r="E237" s="16">
        <v>22000</v>
      </c>
      <c r="F237" s="16">
        <v>0</v>
      </c>
      <c r="G237" s="17">
        <v>4.4</v>
      </c>
      <c r="H237" s="17">
        <v>4.4</v>
      </c>
      <c r="I237" s="17">
        <v>1</v>
      </c>
      <c r="J237" s="17">
        <v>1</v>
      </c>
      <c r="K237" s="17" t="str">
        <f>SUMIFS(G237:J237,$G$14:$J$14,$K$13)</f>
        <v>0</v>
      </c>
      <c r="L237" s="17" t="str">
        <f>SUMIFS(G237:J237,$G$14:$J$14,$L$13)</f>
        <v>0</v>
      </c>
      <c r="M237" s="17"/>
      <c r="N237" s="17" t="str">
        <f>K237*E237</f>
        <v>0</v>
      </c>
      <c r="O237" s="17" t="str">
        <f>L237*F237</f>
        <v>0</v>
      </c>
      <c r="P237" s="17" t="str">
        <f>N237+O237</f>
        <v>0</v>
      </c>
      <c r="Q237" s="21"/>
      <c r="R237" s="1"/>
      <c r="S237" s="22" t="str">
        <f>K237+L237</f>
        <v>0</v>
      </c>
      <c r="T237" s="1"/>
      <c r="U237" s="1"/>
      <c r="V237" s="1"/>
      <c r="W237" s="1"/>
      <c r="X237" s="1"/>
      <c r="Y237" s="1"/>
      <c r="Z237" s="1"/>
    </row>
    <row r="238" spans="1:26" customHeight="1" ht="12.75">
      <c r="A238" s="1"/>
      <c r="B238" s="19"/>
      <c r="C238" s="35" t="s">
        <v>284</v>
      </c>
      <c r="D238" s="15" t="s">
        <v>125</v>
      </c>
      <c r="E238" s="16">
        <v>10000</v>
      </c>
      <c r="F238" s="16">
        <v>0</v>
      </c>
      <c r="G238" s="17">
        <v>0</v>
      </c>
      <c r="H238" s="17">
        <v>0</v>
      </c>
      <c r="I238" s="17">
        <v>0</v>
      </c>
      <c r="J238" s="17">
        <v>0</v>
      </c>
      <c r="K238" s="17" t="str">
        <f>SUMIFS(G238:J238,$G$14:$J$14,$K$13)</f>
        <v>0</v>
      </c>
      <c r="L238" s="17" t="str">
        <f>SUMIFS(G238:J238,$G$14:$J$14,$L$13)</f>
        <v>0</v>
      </c>
      <c r="M238" s="17"/>
      <c r="N238" s="17"/>
      <c r="O238" s="17"/>
      <c r="P238" s="17" t="str">
        <f>N238+O238</f>
        <v>0</v>
      </c>
      <c r="Q238" s="21"/>
      <c r="R238" s="1"/>
      <c r="S238" s="22" t="str">
        <f>K238+L238</f>
        <v>0</v>
      </c>
      <c r="T238" s="1"/>
      <c r="U238" s="1"/>
      <c r="V238" s="1"/>
      <c r="W238" s="1"/>
      <c r="X238" s="1"/>
      <c r="Y238" s="1"/>
      <c r="Z238" s="1"/>
    </row>
    <row r="239" spans="1:26" customHeight="1" ht="12.75">
      <c r="A239" s="1"/>
      <c r="B239" s="19"/>
      <c r="C239" s="35" t="s">
        <v>285</v>
      </c>
      <c r="D239" s="15" t="s">
        <v>125</v>
      </c>
      <c r="E239" s="16">
        <v>2000</v>
      </c>
      <c r="F239" s="16">
        <v>0</v>
      </c>
      <c r="G239" s="17">
        <v>29.4</v>
      </c>
      <c r="H239" s="17">
        <v>29.4</v>
      </c>
      <c r="I239" s="17">
        <v>0</v>
      </c>
      <c r="J239" s="17">
        <v>0</v>
      </c>
      <c r="K239" s="17" t="str">
        <f>SUMIFS(G239:J239,$G$14:$J$14,$K$13)</f>
        <v>0</v>
      </c>
      <c r="L239" s="17" t="str">
        <f>SUMIFS(G239:J239,$G$14:$J$14,$L$13)</f>
        <v>0</v>
      </c>
      <c r="M239" s="17"/>
      <c r="N239" s="17" t="str">
        <f>K239*E239</f>
        <v>0</v>
      </c>
      <c r="O239" s="17" t="str">
        <f>L239*F239</f>
        <v>0</v>
      </c>
      <c r="P239" s="17" t="str">
        <f>N239+O239</f>
        <v>0</v>
      </c>
      <c r="Q239" s="21"/>
      <c r="R239" s="1"/>
      <c r="S239" s="22" t="str">
        <f>K239+L239</f>
        <v>0</v>
      </c>
      <c r="T239" s="1"/>
      <c r="U239" s="1"/>
      <c r="V239" s="1"/>
      <c r="W239" s="1"/>
      <c r="X239" s="1"/>
      <c r="Y239" s="1"/>
      <c r="Z239" s="1"/>
    </row>
    <row r="240" spans="1:26" customHeight="1" ht="12.75">
      <c r="A240" s="1"/>
      <c r="B240" s="19"/>
      <c r="C240" s="35" t="s">
        <v>286</v>
      </c>
      <c r="D240" s="15" t="s">
        <v>125</v>
      </c>
      <c r="E240" s="16">
        <v>2000</v>
      </c>
      <c r="F240" s="16">
        <v>0</v>
      </c>
      <c r="G240" s="17">
        <v>0</v>
      </c>
      <c r="H240" s="17">
        <v>0</v>
      </c>
      <c r="I240" s="17">
        <v>0</v>
      </c>
      <c r="J240" s="17">
        <v>0</v>
      </c>
      <c r="K240" s="17" t="str">
        <f>SUMIFS(G240:J240,$G$14:$J$14,$K$13)</f>
        <v>0</v>
      </c>
      <c r="L240" s="17" t="str">
        <f>SUMIFS(G240:J240,$G$14:$J$14,$L$13)</f>
        <v>0</v>
      </c>
      <c r="M240" s="17"/>
      <c r="N240" s="17" t="str">
        <f>K240*E240</f>
        <v>0</v>
      </c>
      <c r="O240" s="17"/>
      <c r="P240" s="17" t="str">
        <f>N240+O240</f>
        <v>0</v>
      </c>
      <c r="Q240" s="21"/>
      <c r="R240" s="1"/>
      <c r="S240" s="22" t="str">
        <f>K240+L240</f>
        <v>0</v>
      </c>
      <c r="T240" s="1"/>
      <c r="U240" s="1"/>
      <c r="V240" s="1"/>
      <c r="W240" s="1"/>
      <c r="X240" s="1"/>
      <c r="Y240" s="1"/>
      <c r="Z240" s="1"/>
    </row>
    <row r="241" spans="1:26" customHeight="1" ht="12.75">
      <c r="A241" s="1"/>
      <c r="B241" s="19"/>
      <c r="C241" s="35" t="s">
        <v>287</v>
      </c>
      <c r="D241" s="15" t="s">
        <v>125</v>
      </c>
      <c r="E241" s="16">
        <v>200000</v>
      </c>
      <c r="F241" s="16">
        <v>0</v>
      </c>
      <c r="G241" s="17">
        <v>0</v>
      </c>
      <c r="H241" s="17">
        <v>0</v>
      </c>
      <c r="I241" s="17">
        <v>0</v>
      </c>
      <c r="J241" s="17">
        <v>0</v>
      </c>
      <c r="K241" s="17" t="str">
        <f>SUMIFS(G241:J241,$G$14:$J$14,$K$13)</f>
        <v>0</v>
      </c>
      <c r="L241" s="17" t="str">
        <f>SUMIFS(G241:J241,$G$14:$J$14,$L$13)</f>
        <v>0</v>
      </c>
      <c r="M241" s="17"/>
      <c r="N241" s="17"/>
      <c r="O241" s="17"/>
      <c r="P241" s="17" t="str">
        <f>N241+O241</f>
        <v>0</v>
      </c>
      <c r="Q241" s="21"/>
      <c r="R241" s="1"/>
      <c r="S241" s="22" t="str">
        <f>K241+L241</f>
        <v>0</v>
      </c>
      <c r="T241" s="1"/>
      <c r="U241" s="1"/>
      <c r="V241" s="1"/>
      <c r="W241" s="1"/>
      <c r="X241" s="1"/>
      <c r="Y241" s="1"/>
      <c r="Z241" s="1"/>
    </row>
    <row r="242" spans="1:26" customHeight="1" ht="12.75">
      <c r="A242" s="1"/>
      <c r="B242" s="19"/>
      <c r="C242" s="35" t="s">
        <v>288</v>
      </c>
      <c r="D242" s="15" t="s">
        <v>125</v>
      </c>
      <c r="E242" s="16">
        <v>250000</v>
      </c>
      <c r="F242" s="16">
        <v>0</v>
      </c>
      <c r="G242" s="17">
        <v>0</v>
      </c>
      <c r="H242" s="17">
        <v>0</v>
      </c>
      <c r="I242" s="17">
        <v>0</v>
      </c>
      <c r="J242" s="17">
        <v>0</v>
      </c>
      <c r="K242" s="17" t="str">
        <f>SUMIFS(G242:J242,$G$14:$J$14,$K$13)</f>
        <v>0</v>
      </c>
      <c r="L242" s="17" t="str">
        <f>SUMIFS(G242:J242,$G$14:$J$14,$L$13)</f>
        <v>0</v>
      </c>
      <c r="M242" s="17"/>
      <c r="N242" s="17"/>
      <c r="O242" s="17"/>
      <c r="P242" s="17" t="str">
        <f>N242+O242</f>
        <v>0</v>
      </c>
      <c r="Q242" s="21"/>
      <c r="R242" s="1"/>
      <c r="S242" s="22" t="str">
        <f>K242+L242</f>
        <v>0</v>
      </c>
      <c r="T242" s="1"/>
      <c r="U242" s="1"/>
      <c r="V242" s="1"/>
      <c r="W242" s="1"/>
      <c r="X242" s="1"/>
      <c r="Y242" s="1"/>
      <c r="Z242" s="1"/>
    </row>
    <row r="243" spans="1:26" customHeight="1" ht="12.75">
      <c r="A243" s="1"/>
      <c r="B243" s="19"/>
      <c r="C243" s="35" t="s">
        <v>289</v>
      </c>
      <c r="D243" s="15" t="s">
        <v>125</v>
      </c>
      <c r="E243" s="16">
        <v>13000</v>
      </c>
      <c r="F243" s="16">
        <v>0</v>
      </c>
      <c r="G243" s="17">
        <v>4.4</v>
      </c>
      <c r="H243" s="17">
        <v>4.4</v>
      </c>
      <c r="I243" s="17">
        <v>1</v>
      </c>
      <c r="J243" s="17">
        <v>1</v>
      </c>
      <c r="K243" s="17" t="str">
        <f>SUMIFS(G243:J243,$G$14:$J$14,$K$13)</f>
        <v>0</v>
      </c>
      <c r="L243" s="17" t="str">
        <f>SUMIFS(G243:J243,$G$14:$J$14,$L$13)</f>
        <v>0</v>
      </c>
      <c r="M243" s="17"/>
      <c r="N243" s="17" t="str">
        <f>K243*E243</f>
        <v>0</v>
      </c>
      <c r="O243" s="17" t="str">
        <f>L243*F243</f>
        <v>0</v>
      </c>
      <c r="P243" s="17" t="str">
        <f>N243+O243</f>
        <v>0</v>
      </c>
      <c r="Q243" s="21"/>
      <c r="R243" s="1"/>
      <c r="S243" s="22" t="str">
        <f>K243+L243</f>
        <v>0</v>
      </c>
      <c r="T243" s="1"/>
      <c r="U243" s="1"/>
      <c r="V243" s="1"/>
      <c r="W243" s="1"/>
      <c r="X243" s="1"/>
      <c r="Y243" s="1"/>
      <c r="Z243" s="1"/>
    </row>
    <row r="244" spans="1:26" customHeight="1" ht="12.75">
      <c r="A244" s="1"/>
      <c r="B244" s="19"/>
      <c r="C244" s="35" t="s">
        <v>290</v>
      </c>
      <c r="D244" s="15" t="s">
        <v>125</v>
      </c>
      <c r="E244" s="16">
        <v>23500</v>
      </c>
      <c r="F244" s="16">
        <v>0</v>
      </c>
      <c r="G244" s="17">
        <v>22.6</v>
      </c>
      <c r="H244" s="17">
        <v>22.6</v>
      </c>
      <c r="I244" s="17">
        <v>0</v>
      </c>
      <c r="J244" s="17">
        <v>0</v>
      </c>
      <c r="K244" s="17" t="str">
        <f>SUMIFS(G244:J244,$G$14:$J$14,$K$13)</f>
        <v>0</v>
      </c>
      <c r="L244" s="17" t="str">
        <f>SUMIFS(G244:J244,$G$14:$J$14,$L$13)</f>
        <v>0</v>
      </c>
      <c r="M244" s="17"/>
      <c r="N244" s="17" t="str">
        <f>K244*E244</f>
        <v>0</v>
      </c>
      <c r="O244" s="17" t="str">
        <f>L244*F244</f>
        <v>0</v>
      </c>
      <c r="P244" s="17" t="str">
        <f>N244+O244</f>
        <v>0</v>
      </c>
      <c r="Q244" s="21"/>
      <c r="R244" s="1"/>
      <c r="S244" s="22" t="str">
        <f>K244+L244</f>
        <v>0</v>
      </c>
      <c r="T244" s="1"/>
      <c r="U244" s="1"/>
      <c r="V244" s="1"/>
      <c r="W244" s="1"/>
      <c r="X244" s="1"/>
      <c r="Y244" s="1"/>
      <c r="Z244" s="1"/>
    </row>
    <row r="245" spans="1:26" customHeight="1" ht="12.75">
      <c r="A245" s="1"/>
      <c r="B245" s="19"/>
      <c r="C245" s="35" t="s">
        <v>291</v>
      </c>
      <c r="D245" s="15" t="s">
        <v>125</v>
      </c>
      <c r="E245" s="16">
        <v>45000</v>
      </c>
      <c r="F245" s="16">
        <v>0</v>
      </c>
      <c r="G245" s="17">
        <v>0</v>
      </c>
      <c r="H245" s="17">
        <v>0</v>
      </c>
      <c r="I245" s="17">
        <v>0</v>
      </c>
      <c r="J245" s="17">
        <v>0</v>
      </c>
      <c r="K245" s="17" t="str">
        <f>SUMIFS(G245:J245,$G$14:$J$14,$K$13)</f>
        <v>0</v>
      </c>
      <c r="L245" s="17" t="str">
        <f>SUMIFS(G245:J245,$G$14:$J$14,$L$13)</f>
        <v>0</v>
      </c>
      <c r="M245" s="17"/>
      <c r="N245" s="17"/>
      <c r="O245" s="17"/>
      <c r="P245" s="17" t="str">
        <f>N245+O245</f>
        <v>0</v>
      </c>
      <c r="Q245" s="21"/>
      <c r="R245" s="1"/>
      <c r="S245" s="22" t="str">
        <f>K245+L245</f>
        <v>0</v>
      </c>
      <c r="T245" s="1"/>
      <c r="U245" s="1"/>
      <c r="V245" s="1"/>
      <c r="W245" s="1"/>
      <c r="X245" s="1"/>
      <c r="Y245" s="1"/>
      <c r="Z245" s="1"/>
    </row>
    <row r="246" spans="1:26" customHeight="1" ht="12.75">
      <c r="A246" s="1"/>
      <c r="B246" s="19"/>
      <c r="C246" s="35" t="s">
        <v>292</v>
      </c>
      <c r="D246" s="15" t="s">
        <v>125</v>
      </c>
      <c r="E246" s="16">
        <v>25000</v>
      </c>
      <c r="F246" s="16">
        <v>0</v>
      </c>
      <c r="G246" s="17">
        <v>45.2</v>
      </c>
      <c r="H246" s="17">
        <v>45.2</v>
      </c>
      <c r="I246" s="17">
        <v>2</v>
      </c>
      <c r="J246" s="17">
        <v>2</v>
      </c>
      <c r="K246" s="17" t="str">
        <f>SUMIFS(G246:J246,$G$14:$J$14,$K$13)</f>
        <v>0</v>
      </c>
      <c r="L246" s="17" t="str">
        <f>SUMIFS(G246:J246,$G$14:$J$14,$L$13)</f>
        <v>0</v>
      </c>
      <c r="M246" s="17"/>
      <c r="N246" s="17" t="str">
        <f>K246*E246</f>
        <v>0</v>
      </c>
      <c r="O246" s="17" t="str">
        <f>L246*F246</f>
        <v>0</v>
      </c>
      <c r="P246" s="17" t="str">
        <f>N246+O246</f>
        <v>0</v>
      </c>
      <c r="Q246" s="21"/>
      <c r="R246" s="1"/>
      <c r="S246" s="22" t="str">
        <f>K246+L246</f>
        <v>0</v>
      </c>
      <c r="T246" s="1"/>
      <c r="U246" s="1"/>
      <c r="V246" s="1"/>
      <c r="W246" s="1"/>
      <c r="X246" s="1"/>
      <c r="Y246" s="1"/>
      <c r="Z246" s="1"/>
    </row>
    <row r="247" spans="1:26" customHeight="1" ht="12.75">
      <c r="A247" s="1"/>
      <c r="B247" s="19"/>
      <c r="C247" s="35" t="s">
        <v>293</v>
      </c>
      <c r="D247" s="15" t="s">
        <v>125</v>
      </c>
      <c r="E247" s="16">
        <v>40000</v>
      </c>
      <c r="F247" s="16">
        <v>0</v>
      </c>
      <c r="G247" s="17">
        <v>6</v>
      </c>
      <c r="H247" s="17">
        <v>6</v>
      </c>
      <c r="I247" s="17">
        <v>0</v>
      </c>
      <c r="J247" s="17">
        <v>0</v>
      </c>
      <c r="K247" s="17" t="str">
        <f>SUMIFS(G247:J247,$G$14:$J$14,$K$13)</f>
        <v>0</v>
      </c>
      <c r="L247" s="17" t="str">
        <f>SUMIFS(G247:J247,$G$14:$J$14,$L$13)</f>
        <v>0</v>
      </c>
      <c r="M247" s="17"/>
      <c r="N247" s="17" t="str">
        <f>K247*E247</f>
        <v>0</v>
      </c>
      <c r="O247" s="17" t="str">
        <f>L247*F247</f>
        <v>0</v>
      </c>
      <c r="P247" s="17" t="str">
        <f>N247+O247</f>
        <v>0</v>
      </c>
      <c r="Q247" s="21"/>
      <c r="R247" s="5"/>
      <c r="S247" s="22" t="str">
        <f>K247+L247</f>
        <v>0</v>
      </c>
      <c r="T247" s="1"/>
      <c r="U247" s="1"/>
      <c r="V247" s="1"/>
      <c r="W247" s="1"/>
      <c r="X247" s="1"/>
      <c r="Y247" s="1"/>
      <c r="Z247" s="1"/>
    </row>
    <row r="248" spans="1:26" customHeight="1" ht="12.75">
      <c r="A248" s="1"/>
      <c r="B248" s="19"/>
      <c r="C248" s="35" t="s">
        <v>294</v>
      </c>
      <c r="D248" s="15" t="s">
        <v>125</v>
      </c>
      <c r="E248" s="16">
        <v>20000</v>
      </c>
      <c r="F248" s="16">
        <v>0</v>
      </c>
      <c r="G248" s="17">
        <v>0</v>
      </c>
      <c r="H248" s="17">
        <v>0</v>
      </c>
      <c r="I248" s="17">
        <v>0</v>
      </c>
      <c r="J248" s="17">
        <v>0</v>
      </c>
      <c r="K248" s="17" t="str">
        <f>SUMIFS(G248:J248,$G$14:$J$14,$K$13)</f>
        <v>0</v>
      </c>
      <c r="L248" s="17" t="str">
        <f>SUMIFS(G248:J248,$G$14:$J$14,$L$13)</f>
        <v>0</v>
      </c>
      <c r="M248" s="17"/>
      <c r="N248" s="17"/>
      <c r="O248" s="17"/>
      <c r="P248" s="17" t="str">
        <f>N248+O248</f>
        <v>0</v>
      </c>
      <c r="Q248" s="21"/>
      <c r="R248" s="5"/>
      <c r="S248" s="22" t="str">
        <f>K248+L248</f>
        <v>0</v>
      </c>
      <c r="T248" s="1"/>
      <c r="U248" s="1"/>
      <c r="V248" s="1"/>
      <c r="W248" s="1"/>
      <c r="X248" s="1"/>
      <c r="Y248" s="1"/>
      <c r="Z248" s="1"/>
    </row>
    <row r="249" spans="1:26" customHeight="1" ht="12.75">
      <c r="A249" s="1"/>
      <c r="B249" s="19"/>
      <c r="C249" s="35" t="s">
        <v>295</v>
      </c>
      <c r="D249" s="15" t="s">
        <v>125</v>
      </c>
      <c r="E249" s="16">
        <v>450000</v>
      </c>
      <c r="F249" s="16">
        <v>0</v>
      </c>
      <c r="G249" s="17">
        <v>0</v>
      </c>
      <c r="H249" s="17">
        <v>0</v>
      </c>
      <c r="I249" s="17">
        <v>0</v>
      </c>
      <c r="J249" s="17">
        <v>0</v>
      </c>
      <c r="K249" s="17" t="str">
        <f>SUMIFS(G249:J249,$G$14:$J$14,$K$13)</f>
        <v>0</v>
      </c>
      <c r="L249" s="17" t="str">
        <f>SUMIFS(G249:J249,$G$14:$J$14,$L$13)</f>
        <v>0</v>
      </c>
      <c r="M249" s="17"/>
      <c r="N249" s="17" t="str">
        <f>K249*E249</f>
        <v>0</v>
      </c>
      <c r="O249" s="17"/>
      <c r="P249" s="17" t="str">
        <f>N249+O249</f>
        <v>0</v>
      </c>
      <c r="Q249" s="21"/>
      <c r="R249" s="5"/>
      <c r="S249" s="22" t="str">
        <f>K249+L249</f>
        <v>0</v>
      </c>
      <c r="T249" s="1"/>
      <c r="U249" s="1"/>
      <c r="V249" s="1"/>
      <c r="W249" s="1"/>
      <c r="X249" s="1"/>
      <c r="Y249" s="1"/>
      <c r="Z249" s="1"/>
    </row>
    <row r="250" spans="1:26" customHeight="1" ht="12.75">
      <c r="A250" s="1"/>
      <c r="B250" s="14" t="s">
        <v>296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 t="str">
        <f>K250+L250</f>
        <v>0</v>
      </c>
      <c r="T250" s="1"/>
      <c r="U250" s="18"/>
      <c r="V250" s="18"/>
      <c r="W250" s="18"/>
      <c r="X250" s="18"/>
      <c r="Y250" s="18"/>
      <c r="Z250" s="18"/>
    </row>
    <row r="251" spans="1:26" customHeight="1" ht="12.75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 t="str">
        <f>K251+L251</f>
        <v>0</v>
      </c>
      <c r="T251" s="1"/>
      <c r="U251" s="1"/>
      <c r="V251" s="1"/>
      <c r="W251" s="1"/>
      <c r="X251" s="1"/>
      <c r="Y251" s="1"/>
      <c r="Z251" s="1"/>
    </row>
    <row r="252" spans="1:26" customHeight="1" ht="12.75">
      <c r="A252" s="1"/>
      <c r="B252" s="13">
        <v>2.4</v>
      </c>
      <c r="C252" s="39" t="s">
        <v>297</v>
      </c>
      <c r="D252" s="15"/>
      <c r="E252" s="16"/>
      <c r="F252" s="16"/>
      <c r="G252" s="41">
        <v>0</v>
      </c>
      <c r="H252" s="41">
        <v>0</v>
      </c>
      <c r="I252" s="41">
        <v>0</v>
      </c>
      <c r="J252" s="41">
        <v>0</v>
      </c>
      <c r="K252" s="41"/>
      <c r="L252" s="41"/>
      <c r="M252" s="41"/>
      <c r="N252" s="41"/>
      <c r="O252" s="41"/>
      <c r="P252" s="41"/>
      <c r="Q252" s="21"/>
      <c r="R252" s="5"/>
      <c r="S252" s="22" t="str">
        <f>K252+L252</f>
        <v>0</v>
      </c>
      <c r="T252" s="1"/>
      <c r="U252" s="18"/>
      <c r="V252" s="18"/>
      <c r="W252" s="18"/>
      <c r="X252" s="18"/>
      <c r="Y252" s="18"/>
      <c r="Z252" s="18"/>
    </row>
    <row r="253" spans="1:26" customHeight="1" ht="12.75">
      <c r="A253" s="1"/>
      <c r="B253" s="19" t="s">
        <v>36</v>
      </c>
      <c r="C253" s="21" t="s">
        <v>298</v>
      </c>
      <c r="D253" s="15"/>
      <c r="E253" s="16">
        <v>0</v>
      </c>
      <c r="F253" s="16">
        <v>0</v>
      </c>
      <c r="G253" s="12">
        <v>0</v>
      </c>
      <c r="H253" s="12">
        <v>0</v>
      </c>
      <c r="I253" s="12">
        <v>0</v>
      </c>
      <c r="J253" s="12">
        <v>0</v>
      </c>
      <c r="K253" s="12" t="str">
        <f>SUMIFS(G253:J253,$G$14:$J$14,$K$13)</f>
        <v>0</v>
      </c>
      <c r="L253" s="12" t="str">
        <f>SUMIFS(G253:J253,$G$14:$J$14,$L$13)</f>
        <v>0</v>
      </c>
      <c r="M253" s="12"/>
      <c r="N253" s="12"/>
      <c r="O253" s="12"/>
      <c r="P253" s="17" t="str">
        <f>N253+O253</f>
        <v>0</v>
      </c>
      <c r="Q253" s="21"/>
      <c r="R253" s="5"/>
      <c r="S253" s="22" t="str">
        <f>K253+L253</f>
        <v>0</v>
      </c>
      <c r="T253" s="1"/>
      <c r="U253" s="1"/>
      <c r="V253" s="1"/>
      <c r="W253" s="1"/>
      <c r="X253" s="1"/>
      <c r="Y253" s="1"/>
      <c r="Z253" s="1"/>
    </row>
    <row r="254" spans="1:26" customHeight="1" ht="12.75">
      <c r="A254" s="1"/>
      <c r="B254" s="19"/>
      <c r="C254" s="21" t="s">
        <v>299</v>
      </c>
      <c r="D254" s="15" t="s">
        <v>55</v>
      </c>
      <c r="E254" s="16">
        <v>6200000</v>
      </c>
      <c r="F254" s="16">
        <v>0</v>
      </c>
      <c r="G254" s="17">
        <v>0</v>
      </c>
      <c r="H254" s="17">
        <v>0</v>
      </c>
      <c r="I254" s="17">
        <v>0</v>
      </c>
      <c r="J254" s="17">
        <v>0</v>
      </c>
      <c r="K254" s="17" t="str">
        <f>SUMIFS(G254:J254,$G$14:$J$14,$K$13)</f>
        <v>0</v>
      </c>
      <c r="L254" s="17" t="str">
        <f>SUMIFS(G254:J254,$G$14:$J$14,$L$13)</f>
        <v>0</v>
      </c>
      <c r="M254" s="17"/>
      <c r="N254" s="17"/>
      <c r="O254" s="17"/>
      <c r="P254" s="17" t="str">
        <f>N254+O254</f>
        <v>0</v>
      </c>
      <c r="Q254" s="21"/>
      <c r="R254" s="5"/>
      <c r="S254" s="22" t="str">
        <f>K254+L254</f>
        <v>0</v>
      </c>
      <c r="T254" s="1"/>
      <c r="U254" s="1"/>
      <c r="V254" s="1"/>
      <c r="W254" s="1"/>
      <c r="X254" s="1"/>
      <c r="Y254" s="1"/>
      <c r="Z254" s="1"/>
    </row>
    <row r="255" spans="1:26" customHeight="1" ht="12.75">
      <c r="A255" s="1"/>
      <c r="B255" s="19"/>
      <c r="C255" s="21" t="s">
        <v>300</v>
      </c>
      <c r="D255" s="15" t="s">
        <v>55</v>
      </c>
      <c r="E255" s="16">
        <v>0</v>
      </c>
      <c r="F255" s="16">
        <v>250000</v>
      </c>
      <c r="G255" s="17">
        <v>0</v>
      </c>
      <c r="H255" s="17">
        <v>0</v>
      </c>
      <c r="I255" s="17">
        <v>0</v>
      </c>
      <c r="J255" s="17">
        <v>0</v>
      </c>
      <c r="K255" s="17" t="str">
        <f>SUMIFS(G255:J255,$G$14:$J$14,$K$13)</f>
        <v>0</v>
      </c>
      <c r="L255" s="17" t="str">
        <f>SUMIFS(G255:J255,$G$14:$J$14,$L$13)</f>
        <v>0</v>
      </c>
      <c r="M255" s="17"/>
      <c r="N255" s="17"/>
      <c r="O255" s="17"/>
      <c r="P255" s="17" t="str">
        <f>N255+O255</f>
        <v>0</v>
      </c>
      <c r="Q255" s="21"/>
      <c r="R255" s="5"/>
      <c r="S255" s="22" t="str">
        <f>K255+L255</f>
        <v>0</v>
      </c>
      <c r="T255" s="1"/>
      <c r="U255" s="1"/>
      <c r="V255" s="1"/>
      <c r="W255" s="1"/>
      <c r="X255" s="1"/>
      <c r="Y255" s="1"/>
      <c r="Z255" s="1"/>
    </row>
    <row r="256" spans="1:26" customHeight="1" ht="12.75">
      <c r="A256" s="1"/>
      <c r="B256" s="19"/>
      <c r="C256" s="21" t="s">
        <v>301</v>
      </c>
      <c r="D256" s="15" t="s">
        <v>55</v>
      </c>
      <c r="E256" s="16">
        <v>2625000</v>
      </c>
      <c r="F256" s="16">
        <v>0</v>
      </c>
      <c r="G256" s="17">
        <v>0</v>
      </c>
      <c r="H256" s="17">
        <v>0</v>
      </c>
      <c r="I256" s="17">
        <v>0</v>
      </c>
      <c r="J256" s="17">
        <v>0</v>
      </c>
      <c r="K256" s="17" t="str">
        <f>SUMIFS(G256:J256,$G$14:$J$14,$K$13)</f>
        <v>0</v>
      </c>
      <c r="L256" s="17" t="str">
        <f>SUMIFS(G256:J256,$G$14:$J$14,$L$13)</f>
        <v>0</v>
      </c>
      <c r="M256" s="17"/>
      <c r="N256" s="17"/>
      <c r="O256" s="17"/>
      <c r="P256" s="17" t="str">
        <f>N256+O256</f>
        <v>0</v>
      </c>
      <c r="Q256" s="21"/>
      <c r="R256" s="5"/>
      <c r="S256" s="22" t="str">
        <f>K256+L256</f>
        <v>0</v>
      </c>
      <c r="T256" s="1"/>
      <c r="U256" s="1"/>
      <c r="V256" s="1"/>
      <c r="W256" s="1"/>
      <c r="X256" s="1"/>
      <c r="Y256" s="1"/>
      <c r="Z256" s="1"/>
    </row>
    <row r="257" spans="1:26" customHeight="1" ht="12.75">
      <c r="A257" s="1"/>
      <c r="B257" s="19"/>
      <c r="C257" s="21" t="s">
        <v>302</v>
      </c>
      <c r="D257" s="15" t="s">
        <v>55</v>
      </c>
      <c r="E257" s="16">
        <v>0</v>
      </c>
      <c r="F257" s="16">
        <v>250000</v>
      </c>
      <c r="G257" s="17">
        <v>0</v>
      </c>
      <c r="H257" s="17">
        <v>0</v>
      </c>
      <c r="I257" s="17">
        <v>0</v>
      </c>
      <c r="J257" s="17">
        <v>0</v>
      </c>
      <c r="K257" s="17" t="str">
        <f>SUMIFS(G257:J257,$G$14:$J$14,$K$13)</f>
        <v>0</v>
      </c>
      <c r="L257" s="17" t="str">
        <f>SUMIFS(G257:J257,$G$14:$J$14,$L$13)</f>
        <v>0</v>
      </c>
      <c r="M257" s="17"/>
      <c r="N257" s="17"/>
      <c r="O257" s="17"/>
      <c r="P257" s="17" t="str">
        <f>N257+O257</f>
        <v>0</v>
      </c>
      <c r="Q257" s="21"/>
      <c r="R257" s="5"/>
      <c r="S257" s="22" t="str">
        <f>K257+L257</f>
        <v>0</v>
      </c>
      <c r="T257" s="1"/>
      <c r="U257" s="1"/>
      <c r="V257" s="1"/>
      <c r="W257" s="1"/>
      <c r="X257" s="1"/>
      <c r="Y257" s="1"/>
      <c r="Z257" s="1"/>
    </row>
    <row r="258" spans="1:26" customHeight="1" ht="12.75">
      <c r="A258" s="1"/>
      <c r="B258" s="19"/>
      <c r="C258" s="34" t="s">
        <v>303</v>
      </c>
      <c r="D258" s="19" t="s">
        <v>55</v>
      </c>
      <c r="E258" s="16">
        <v>2812500</v>
      </c>
      <c r="F258" s="16">
        <v>0</v>
      </c>
      <c r="G258" s="17">
        <v>0</v>
      </c>
      <c r="H258" s="17">
        <v>0</v>
      </c>
      <c r="I258" s="17">
        <v>0</v>
      </c>
      <c r="J258" s="17">
        <v>0</v>
      </c>
      <c r="K258" s="17" t="str">
        <f>SUMIFS(G258:J258,$G$14:$J$14,$K$13)</f>
        <v>0</v>
      </c>
      <c r="L258" s="17" t="str">
        <f>SUMIFS(G258:J258,$G$14:$J$14,$L$13)</f>
        <v>0</v>
      </c>
      <c r="M258" s="17"/>
      <c r="N258" s="17"/>
      <c r="O258" s="17"/>
      <c r="P258" s="17" t="str">
        <f>N258+O258</f>
        <v>0</v>
      </c>
      <c r="Q258" s="21"/>
      <c r="R258" s="5"/>
      <c r="S258" s="22" t="str">
        <f>K258+L258</f>
        <v>0</v>
      </c>
      <c r="T258" s="1"/>
      <c r="U258" s="1"/>
      <c r="V258" s="1"/>
      <c r="W258" s="1"/>
      <c r="X258" s="1"/>
      <c r="Y258" s="1"/>
      <c r="Z258" s="1"/>
    </row>
    <row r="259" spans="1:26" customHeight="1" ht="12.75">
      <c r="A259" s="1"/>
      <c r="B259" s="19"/>
      <c r="C259" s="34" t="s">
        <v>304</v>
      </c>
      <c r="D259" s="15" t="s">
        <v>55</v>
      </c>
      <c r="E259" s="16">
        <v>0</v>
      </c>
      <c r="F259" s="16">
        <v>170000</v>
      </c>
      <c r="G259" s="17">
        <v>0</v>
      </c>
      <c r="H259" s="17">
        <v>0</v>
      </c>
      <c r="I259" s="17">
        <v>0</v>
      </c>
      <c r="J259" s="17">
        <v>0</v>
      </c>
      <c r="K259" s="17" t="str">
        <f>SUMIFS(G259:J259,$G$14:$J$14,$K$13)</f>
        <v>0</v>
      </c>
      <c r="L259" s="17" t="str">
        <f>SUMIFS(G259:J259,$G$14:$J$14,$L$13)</f>
        <v>0</v>
      </c>
      <c r="M259" s="17"/>
      <c r="N259" s="17"/>
      <c r="O259" s="17"/>
      <c r="P259" s="17" t="str">
        <f>N259+O259</f>
        <v>0</v>
      </c>
      <c r="Q259" s="21"/>
      <c r="R259" s="5"/>
      <c r="S259" s="22" t="str">
        <f>K259+L259</f>
        <v>0</v>
      </c>
      <c r="T259" s="1"/>
      <c r="U259" s="1"/>
      <c r="V259" s="1"/>
      <c r="W259" s="1"/>
      <c r="X259" s="1"/>
      <c r="Y259" s="1"/>
      <c r="Z259" s="1"/>
    </row>
    <row r="260" spans="1:26" customHeight="1" ht="12.75">
      <c r="A260" s="1"/>
      <c r="B260" s="19" t="s">
        <v>67</v>
      </c>
      <c r="C260" s="21" t="s">
        <v>305</v>
      </c>
      <c r="D260" s="15"/>
      <c r="E260" s="16">
        <v>0</v>
      </c>
      <c r="F260" s="16">
        <v>0</v>
      </c>
      <c r="G260" s="12">
        <v>0</v>
      </c>
      <c r="H260" s="12">
        <v>0</v>
      </c>
      <c r="I260" s="12">
        <v>0</v>
      </c>
      <c r="J260" s="12">
        <v>0</v>
      </c>
      <c r="K260" s="12" t="str">
        <f>SUMIFS(G260:J260,$G$14:$J$14,$K$13)</f>
        <v>0</v>
      </c>
      <c r="L260" s="12" t="str">
        <f>SUMIFS(G260:J260,$G$14:$J$14,$L$13)</f>
        <v>0</v>
      </c>
      <c r="M260" s="12"/>
      <c r="N260" s="12"/>
      <c r="O260" s="12"/>
      <c r="P260" s="17" t="str">
        <f>N260+O260</f>
        <v>0</v>
      </c>
      <c r="Q260" s="21"/>
      <c r="R260" s="5"/>
      <c r="S260" s="22" t="str">
        <f>K260+L260</f>
        <v>0</v>
      </c>
      <c r="T260" s="1"/>
      <c r="U260" s="1"/>
      <c r="V260" s="1"/>
      <c r="W260" s="1"/>
      <c r="X260" s="1"/>
      <c r="Y260" s="1"/>
      <c r="Z260" s="1"/>
    </row>
    <row r="261" spans="1:26" customHeight="1" ht="12.75">
      <c r="A261" s="1"/>
      <c r="B261" s="19"/>
      <c r="C261" s="34" t="s">
        <v>306</v>
      </c>
      <c r="D261" s="15" t="s">
        <v>82</v>
      </c>
      <c r="E261" s="16">
        <v>12375000</v>
      </c>
      <c r="F261" s="16">
        <v>0</v>
      </c>
      <c r="G261" s="17">
        <v>0</v>
      </c>
      <c r="H261" s="17">
        <v>0</v>
      </c>
      <c r="I261" s="17">
        <v>0</v>
      </c>
      <c r="J261" s="17">
        <v>0</v>
      </c>
      <c r="K261" s="17" t="str">
        <f>SUMIFS(G261:J261,$G$14:$J$14,$K$13)</f>
        <v>0</v>
      </c>
      <c r="L261" s="17" t="str">
        <f>SUMIFS(G261:J261,$G$14:$J$14,$L$13)</f>
        <v>0</v>
      </c>
      <c r="M261" s="17"/>
      <c r="N261" s="17"/>
      <c r="O261" s="17"/>
      <c r="P261" s="17" t="str">
        <f>N261+O261</f>
        <v>0</v>
      </c>
      <c r="Q261" s="21"/>
      <c r="R261" s="5"/>
      <c r="S261" s="22" t="str">
        <f>K261+L261</f>
        <v>0</v>
      </c>
      <c r="T261" s="1"/>
      <c r="U261" s="1"/>
      <c r="V261" s="1"/>
      <c r="W261" s="1"/>
      <c r="X261" s="1"/>
      <c r="Y261" s="1"/>
      <c r="Z261" s="1"/>
    </row>
    <row r="262" spans="1:26" customHeight="1" ht="12.75">
      <c r="A262" s="1"/>
      <c r="B262" s="19"/>
      <c r="C262" s="34" t="s">
        <v>307</v>
      </c>
      <c r="D262" s="15" t="s">
        <v>82</v>
      </c>
      <c r="E262" s="16">
        <v>0</v>
      </c>
      <c r="F262" s="16">
        <v>350000</v>
      </c>
      <c r="G262" s="17">
        <v>0</v>
      </c>
      <c r="H262" s="17">
        <v>0</v>
      </c>
      <c r="I262" s="17">
        <v>0</v>
      </c>
      <c r="J262" s="17">
        <v>0</v>
      </c>
      <c r="K262" s="17" t="str">
        <f>SUMIFS(G262:J262,$G$14:$J$14,$K$13)</f>
        <v>0</v>
      </c>
      <c r="L262" s="17" t="str">
        <f>SUMIFS(G262:J262,$G$14:$J$14,$L$13)</f>
        <v>0</v>
      </c>
      <c r="M262" s="17"/>
      <c r="N262" s="17"/>
      <c r="O262" s="17"/>
      <c r="P262" s="17" t="str">
        <f>N262+O262</f>
        <v>0</v>
      </c>
      <c r="Q262" s="21"/>
      <c r="R262" s="5"/>
      <c r="S262" s="22" t="str">
        <f>K262+L262</f>
        <v>0</v>
      </c>
      <c r="T262" s="1"/>
      <c r="U262" s="1"/>
      <c r="V262" s="1"/>
      <c r="W262" s="1"/>
      <c r="X262" s="1"/>
      <c r="Y262" s="1"/>
      <c r="Z262" s="1"/>
    </row>
    <row r="263" spans="1:26" customHeight="1" ht="12.75">
      <c r="A263" s="1"/>
      <c r="B263" s="19"/>
      <c r="C263" s="34" t="s">
        <v>308</v>
      </c>
      <c r="D263" s="15" t="s">
        <v>82</v>
      </c>
      <c r="E263" s="16">
        <v>15750000</v>
      </c>
      <c r="F263" s="16">
        <v>0</v>
      </c>
      <c r="G263" s="17">
        <v>0</v>
      </c>
      <c r="H263" s="17">
        <v>0</v>
      </c>
      <c r="I263" s="17">
        <v>0</v>
      </c>
      <c r="J263" s="17">
        <v>0</v>
      </c>
      <c r="K263" s="17" t="str">
        <f>SUMIFS(G263:J263,$G$14:$J$14,$K$13)</f>
        <v>0</v>
      </c>
      <c r="L263" s="17" t="str">
        <f>SUMIFS(G263:J263,$G$14:$J$14,$L$13)</f>
        <v>0</v>
      </c>
      <c r="M263" s="17"/>
      <c r="N263" s="17"/>
      <c r="O263" s="17"/>
      <c r="P263" s="17" t="str">
        <f>N263+O263</f>
        <v>0</v>
      </c>
      <c r="Q263" s="21"/>
      <c r="R263" s="5"/>
      <c r="S263" s="22" t="str">
        <f>K263+L263</f>
        <v>0</v>
      </c>
      <c r="T263" s="1"/>
      <c r="U263" s="1"/>
      <c r="V263" s="1"/>
      <c r="W263" s="1"/>
      <c r="X263" s="1"/>
      <c r="Y263" s="1"/>
      <c r="Z263" s="1"/>
    </row>
    <row r="264" spans="1:26" customHeight="1" ht="12.75">
      <c r="A264" s="1"/>
      <c r="B264" s="19"/>
      <c r="C264" s="34" t="s">
        <v>309</v>
      </c>
      <c r="D264" s="15" t="s">
        <v>82</v>
      </c>
      <c r="E264" s="16">
        <v>0</v>
      </c>
      <c r="F264" s="16">
        <v>350000</v>
      </c>
      <c r="G264" s="17">
        <v>0</v>
      </c>
      <c r="H264" s="17">
        <v>0</v>
      </c>
      <c r="I264" s="17">
        <v>0</v>
      </c>
      <c r="J264" s="17">
        <v>0</v>
      </c>
      <c r="K264" s="17" t="str">
        <f>SUMIFS(G264:J264,$G$14:$J$14,$K$13)</f>
        <v>0</v>
      </c>
      <c r="L264" s="17" t="str">
        <f>SUMIFS(G264:J264,$G$14:$J$14,$L$13)</f>
        <v>0</v>
      </c>
      <c r="M264" s="17"/>
      <c r="N264" s="17"/>
      <c r="O264" s="17"/>
      <c r="P264" s="17" t="str">
        <f>N264+O264</f>
        <v>0</v>
      </c>
      <c r="Q264" s="21"/>
      <c r="R264" s="1"/>
      <c r="S264" s="22" t="str">
        <f>K264+L264</f>
        <v>0</v>
      </c>
      <c r="T264" s="1"/>
      <c r="U264" s="1"/>
      <c r="V264" s="1"/>
      <c r="W264" s="1"/>
      <c r="X264" s="1"/>
      <c r="Y264" s="1"/>
      <c r="Z264" s="1"/>
    </row>
    <row r="265" spans="1:26" customHeight="1" ht="12.75">
      <c r="A265" s="1"/>
      <c r="B265" s="19"/>
      <c r="C265" s="34" t="s">
        <v>310</v>
      </c>
      <c r="D265" s="15" t="s">
        <v>82</v>
      </c>
      <c r="E265" s="16">
        <v>19687500</v>
      </c>
      <c r="F265" s="16">
        <v>0</v>
      </c>
      <c r="G265" s="17">
        <v>0</v>
      </c>
      <c r="H265" s="17">
        <v>0</v>
      </c>
      <c r="I265" s="17">
        <v>0</v>
      </c>
      <c r="J265" s="17">
        <v>0</v>
      </c>
      <c r="K265" s="17" t="str">
        <f>SUMIFS(G265:J265,$G$14:$J$14,$K$13)</f>
        <v>0</v>
      </c>
      <c r="L265" s="17" t="str">
        <f>SUMIFS(G265:J265,$G$14:$J$14,$L$13)</f>
        <v>0</v>
      </c>
      <c r="M265" s="17"/>
      <c r="N265" s="17"/>
      <c r="O265" s="17"/>
      <c r="P265" s="17" t="str">
        <f>N265+O265</f>
        <v>0</v>
      </c>
      <c r="Q265" s="21"/>
      <c r="R265" s="1"/>
      <c r="S265" s="22" t="str">
        <f>K265+L265</f>
        <v>0</v>
      </c>
      <c r="T265" s="1"/>
      <c r="U265" s="1"/>
      <c r="V265" s="1"/>
      <c r="W265" s="1"/>
      <c r="X265" s="1"/>
      <c r="Y265" s="1"/>
      <c r="Z265" s="1"/>
    </row>
    <row r="266" spans="1:26" customHeight="1" ht="12.75">
      <c r="A266" s="1"/>
      <c r="B266" s="19"/>
      <c r="C266" s="34" t="s">
        <v>311</v>
      </c>
      <c r="D266" s="15" t="s">
        <v>82</v>
      </c>
      <c r="E266" s="16">
        <v>0</v>
      </c>
      <c r="F266" s="16">
        <v>350000</v>
      </c>
      <c r="G266" s="17">
        <v>0</v>
      </c>
      <c r="H266" s="17">
        <v>0</v>
      </c>
      <c r="I266" s="17">
        <v>0</v>
      </c>
      <c r="J266" s="17">
        <v>0</v>
      </c>
      <c r="K266" s="17" t="str">
        <f>SUMIFS(G266:J266,$G$14:$J$14,$K$13)</f>
        <v>0</v>
      </c>
      <c r="L266" s="17" t="str">
        <f>SUMIFS(G266:J266,$G$14:$J$14,$L$13)</f>
        <v>0</v>
      </c>
      <c r="M266" s="17"/>
      <c r="N266" s="17"/>
      <c r="O266" s="17"/>
      <c r="P266" s="17" t="str">
        <f>N266+O266</f>
        <v>0</v>
      </c>
      <c r="Q266" s="21"/>
      <c r="R266" s="1"/>
      <c r="S266" s="22" t="str">
        <f>K266+L266</f>
        <v>0</v>
      </c>
      <c r="T266" s="1"/>
      <c r="U266" s="1"/>
      <c r="V266" s="1"/>
      <c r="W266" s="1"/>
      <c r="X266" s="1"/>
      <c r="Y266" s="1"/>
      <c r="Z266" s="1"/>
    </row>
    <row r="267" spans="1:26" customHeight="1" ht="12.75">
      <c r="A267" s="1"/>
      <c r="B267" s="19"/>
      <c r="C267" s="34" t="s">
        <v>312</v>
      </c>
      <c r="D267" s="15" t="s">
        <v>82</v>
      </c>
      <c r="E267" s="16">
        <v>25593750</v>
      </c>
      <c r="F267" s="16">
        <v>0</v>
      </c>
      <c r="G267" s="17">
        <v>0</v>
      </c>
      <c r="H267" s="17">
        <v>0</v>
      </c>
      <c r="I267" s="17">
        <v>0</v>
      </c>
      <c r="J267" s="17">
        <v>0</v>
      </c>
      <c r="K267" s="17" t="str">
        <f>SUMIFS(G267:J267,$G$14:$J$14,$K$13)</f>
        <v>0</v>
      </c>
      <c r="L267" s="17" t="str">
        <f>SUMIFS(G267:J267,$G$14:$J$14,$L$13)</f>
        <v>0</v>
      </c>
      <c r="M267" s="17"/>
      <c r="N267" s="17"/>
      <c r="O267" s="17"/>
      <c r="P267" s="17" t="str">
        <f>N267+O267</f>
        <v>0</v>
      </c>
      <c r="Q267" s="21"/>
      <c r="R267" s="1"/>
      <c r="S267" s="22" t="str">
        <f>K267+L267</f>
        <v>0</v>
      </c>
      <c r="T267" s="1"/>
      <c r="U267" s="1"/>
      <c r="V267" s="1"/>
      <c r="W267" s="1"/>
      <c r="X267" s="1"/>
      <c r="Y267" s="1"/>
      <c r="Z267" s="1"/>
    </row>
    <row r="268" spans="1:26" customHeight="1" ht="12.75">
      <c r="A268" s="1"/>
      <c r="B268" s="19"/>
      <c r="C268" s="34" t="s">
        <v>313</v>
      </c>
      <c r="D268" s="15" t="s">
        <v>82</v>
      </c>
      <c r="E268" s="16">
        <v>0</v>
      </c>
      <c r="F268" s="16">
        <v>350000</v>
      </c>
      <c r="G268" s="17">
        <v>0</v>
      </c>
      <c r="H268" s="17">
        <v>0</v>
      </c>
      <c r="I268" s="17">
        <v>0</v>
      </c>
      <c r="J268" s="17">
        <v>0</v>
      </c>
      <c r="K268" s="17" t="str">
        <f>SUMIFS(G268:J268,$G$14:$J$14,$K$13)</f>
        <v>0</v>
      </c>
      <c r="L268" s="17" t="str">
        <f>SUMIFS(G268:J268,$G$14:$J$14,$L$13)</f>
        <v>0</v>
      </c>
      <c r="M268" s="17"/>
      <c r="N268" s="17"/>
      <c r="O268" s="17"/>
      <c r="P268" s="17" t="str">
        <f>N268+O268</f>
        <v>0</v>
      </c>
      <c r="Q268" s="21"/>
      <c r="R268" s="1"/>
      <c r="S268" s="22" t="str">
        <f>K268+L268</f>
        <v>0</v>
      </c>
      <c r="T268" s="1"/>
      <c r="U268" s="1"/>
      <c r="V268" s="1"/>
      <c r="W268" s="1"/>
      <c r="X268" s="1"/>
      <c r="Y268" s="1"/>
      <c r="Z268" s="1"/>
    </row>
    <row r="269" spans="1:26" customHeight="1" ht="12.75">
      <c r="A269" s="1"/>
      <c r="B269" s="19" t="s">
        <v>84</v>
      </c>
      <c r="C269" s="21" t="s">
        <v>314</v>
      </c>
      <c r="D269" s="15"/>
      <c r="E269" s="16">
        <v>0</v>
      </c>
      <c r="F269" s="16">
        <v>0</v>
      </c>
      <c r="G269" s="12">
        <v>0</v>
      </c>
      <c r="H269" s="12">
        <v>0</v>
      </c>
      <c r="I269" s="12">
        <v>0</v>
      </c>
      <c r="J269" s="12">
        <v>0</v>
      </c>
      <c r="K269" s="12" t="str">
        <f>SUMIFS(G269:J269,$G$14:$J$14,$K$13)</f>
        <v>0</v>
      </c>
      <c r="L269" s="12" t="str">
        <f>SUMIFS(G269:J269,$G$14:$J$14,$L$13)</f>
        <v>0</v>
      </c>
      <c r="M269" s="12"/>
      <c r="N269" s="12"/>
      <c r="O269" s="12"/>
      <c r="P269" s="17" t="str">
        <f>N269+O269</f>
        <v>0</v>
      </c>
      <c r="Q269" s="21"/>
      <c r="R269" s="1"/>
      <c r="S269" s="22" t="str">
        <f>K269+L269</f>
        <v>0</v>
      </c>
      <c r="T269" s="1"/>
      <c r="U269" s="1"/>
      <c r="V269" s="1"/>
      <c r="W269" s="1"/>
      <c r="X269" s="1"/>
      <c r="Y269" s="1"/>
      <c r="Z269" s="1"/>
    </row>
    <row r="270" spans="1:26" customHeight="1" ht="12.75">
      <c r="A270" s="1"/>
      <c r="B270" s="19"/>
      <c r="C270" s="34" t="s">
        <v>315</v>
      </c>
      <c r="D270" s="15" t="s">
        <v>82</v>
      </c>
      <c r="E270" s="16">
        <v>2328750</v>
      </c>
      <c r="F270" s="16">
        <v>0</v>
      </c>
      <c r="G270" s="17">
        <v>0</v>
      </c>
      <c r="H270" s="17">
        <v>0</v>
      </c>
      <c r="I270" s="17">
        <v>0</v>
      </c>
      <c r="J270" s="17">
        <v>0</v>
      </c>
      <c r="K270" s="17" t="str">
        <f>SUMIFS(G270:J270,$G$14:$J$14,$K$13)</f>
        <v>0</v>
      </c>
      <c r="L270" s="17" t="str">
        <f>SUMIFS(G270:J270,$G$14:$J$14,$L$13)</f>
        <v>0</v>
      </c>
      <c r="M270" s="17"/>
      <c r="N270" s="17"/>
      <c r="O270" s="17"/>
      <c r="P270" s="17" t="str">
        <f>N270+O270</f>
        <v>0</v>
      </c>
      <c r="Q270" s="21"/>
      <c r="R270" s="1"/>
      <c r="S270" s="22" t="str">
        <f>K270+L270</f>
        <v>0</v>
      </c>
      <c r="T270" s="1"/>
      <c r="U270" s="1"/>
      <c r="V270" s="1"/>
      <c r="W270" s="1"/>
      <c r="X270" s="1"/>
      <c r="Y270" s="1"/>
      <c r="Z270" s="1"/>
    </row>
    <row r="271" spans="1:26" customHeight="1" ht="12.75">
      <c r="A271" s="1"/>
      <c r="B271" s="19"/>
      <c r="C271" s="34" t="s">
        <v>316</v>
      </c>
      <c r="D271" s="15" t="s">
        <v>82</v>
      </c>
      <c r="E271" s="16">
        <v>0</v>
      </c>
      <c r="F271" s="16">
        <v>350000</v>
      </c>
      <c r="G271" s="17">
        <v>0</v>
      </c>
      <c r="H271" s="17">
        <v>0</v>
      </c>
      <c r="I271" s="17">
        <v>0</v>
      </c>
      <c r="J271" s="17">
        <v>0</v>
      </c>
      <c r="K271" s="17" t="str">
        <f>SUMIFS(G271:J271,$G$14:$J$14,$K$13)</f>
        <v>0</v>
      </c>
      <c r="L271" s="17" t="str">
        <f>SUMIFS(G271:J271,$G$14:$J$14,$L$13)</f>
        <v>0</v>
      </c>
      <c r="M271" s="17"/>
      <c r="N271" s="17"/>
      <c r="O271" s="17"/>
      <c r="P271" s="17" t="str">
        <f>N271+O271</f>
        <v>0</v>
      </c>
      <c r="Q271" s="21"/>
      <c r="R271" s="1"/>
      <c r="S271" s="22" t="str">
        <f>K271+L271</f>
        <v>0</v>
      </c>
      <c r="T271" s="1"/>
      <c r="U271" s="1"/>
      <c r="V271" s="1"/>
      <c r="W271" s="1"/>
      <c r="X271" s="1"/>
      <c r="Y271" s="1"/>
      <c r="Z271" s="1"/>
    </row>
    <row r="272" spans="1:26" customHeight="1" ht="12.75">
      <c r="A272" s="1"/>
      <c r="B272" s="19"/>
      <c r="C272" s="34" t="s">
        <v>317</v>
      </c>
      <c r="D272" s="15" t="s">
        <v>82</v>
      </c>
      <c r="E272" s="16">
        <v>9000000</v>
      </c>
      <c r="F272" s="16">
        <v>0</v>
      </c>
      <c r="G272" s="17">
        <v>0</v>
      </c>
      <c r="H272" s="17">
        <v>0</v>
      </c>
      <c r="I272" s="17">
        <v>0</v>
      </c>
      <c r="J272" s="17">
        <v>0</v>
      </c>
      <c r="K272" s="17" t="str">
        <f>SUMIFS(G272:J272,$G$14:$J$14,$K$13)</f>
        <v>0</v>
      </c>
      <c r="L272" s="17" t="str">
        <f>SUMIFS(G272:J272,$G$14:$J$14,$L$13)</f>
        <v>0</v>
      </c>
      <c r="M272" s="17"/>
      <c r="N272" s="17"/>
      <c r="O272" s="17"/>
      <c r="P272" s="17" t="str">
        <f>N272+O272</f>
        <v>0</v>
      </c>
      <c r="Q272" s="21"/>
      <c r="R272" s="1"/>
      <c r="S272" s="22" t="str">
        <f>K272+L272</f>
        <v>0</v>
      </c>
      <c r="T272" s="1"/>
      <c r="U272" s="1"/>
      <c r="V272" s="1"/>
      <c r="W272" s="1"/>
      <c r="X272" s="1"/>
      <c r="Y272" s="1"/>
      <c r="Z272" s="1"/>
    </row>
    <row r="273" spans="1:26" customHeight="1" ht="12.75">
      <c r="A273" s="1"/>
      <c r="B273" s="19"/>
      <c r="C273" s="34" t="s">
        <v>318</v>
      </c>
      <c r="D273" s="15" t="s">
        <v>82</v>
      </c>
      <c r="E273" s="16">
        <v>0</v>
      </c>
      <c r="F273" s="16">
        <v>350000</v>
      </c>
      <c r="G273" s="17">
        <v>0</v>
      </c>
      <c r="H273" s="17">
        <v>0</v>
      </c>
      <c r="I273" s="17">
        <v>0</v>
      </c>
      <c r="J273" s="17">
        <v>0</v>
      </c>
      <c r="K273" s="17" t="str">
        <f>SUMIFS(G273:J273,$G$14:$J$14,$K$13)</f>
        <v>0</v>
      </c>
      <c r="L273" s="17" t="str">
        <f>SUMIFS(G273:J273,$G$14:$J$14,$L$13)</f>
        <v>0</v>
      </c>
      <c r="M273" s="17"/>
      <c r="N273" s="17"/>
      <c r="O273" s="17"/>
      <c r="P273" s="17" t="str">
        <f>N273+O273</f>
        <v>0</v>
      </c>
      <c r="Q273" s="21"/>
      <c r="R273" s="1"/>
      <c r="S273" s="22" t="str">
        <f>K273+L273</f>
        <v>0</v>
      </c>
      <c r="T273" s="1"/>
      <c r="U273" s="1"/>
      <c r="V273" s="1"/>
      <c r="W273" s="1"/>
      <c r="X273" s="1"/>
      <c r="Y273" s="1"/>
      <c r="Z273" s="1"/>
    </row>
    <row r="274" spans="1:26" customHeight="1" ht="12.75">
      <c r="A274" s="1"/>
      <c r="B274" s="19"/>
      <c r="C274" s="34" t="s">
        <v>319</v>
      </c>
      <c r="D274" s="15" t="s">
        <v>82</v>
      </c>
      <c r="E274" s="16">
        <v>13837500</v>
      </c>
      <c r="F274" s="16">
        <v>0</v>
      </c>
      <c r="G274" s="17">
        <v>0</v>
      </c>
      <c r="H274" s="17">
        <v>0</v>
      </c>
      <c r="I274" s="17">
        <v>0</v>
      </c>
      <c r="J274" s="17">
        <v>0</v>
      </c>
      <c r="K274" s="17" t="str">
        <f>SUMIFS(G274:J274,$G$14:$J$14,$K$13)</f>
        <v>0</v>
      </c>
      <c r="L274" s="17" t="str">
        <f>SUMIFS(G274:J274,$G$14:$J$14,$L$13)</f>
        <v>0</v>
      </c>
      <c r="M274" s="17"/>
      <c r="N274" s="17"/>
      <c r="O274" s="17"/>
      <c r="P274" s="17" t="str">
        <f>N274+O274</f>
        <v>0</v>
      </c>
      <c r="Q274" s="21"/>
      <c r="R274" s="1"/>
      <c r="S274" s="22" t="str">
        <f>K274+L274</f>
        <v>0</v>
      </c>
      <c r="T274" s="1"/>
      <c r="U274" s="1"/>
      <c r="V274" s="1"/>
      <c r="W274" s="1"/>
      <c r="X274" s="1"/>
      <c r="Y274" s="1"/>
      <c r="Z274" s="1"/>
    </row>
    <row r="275" spans="1:26" customHeight="1" ht="12.75">
      <c r="A275" s="1"/>
      <c r="B275" s="19"/>
      <c r="C275" s="34" t="s">
        <v>320</v>
      </c>
      <c r="D275" s="15" t="s">
        <v>82</v>
      </c>
      <c r="E275" s="16">
        <v>0</v>
      </c>
      <c r="F275" s="16">
        <v>350000</v>
      </c>
      <c r="G275" s="17">
        <v>0</v>
      </c>
      <c r="H275" s="17">
        <v>0</v>
      </c>
      <c r="I275" s="17">
        <v>0</v>
      </c>
      <c r="J275" s="17">
        <v>0</v>
      </c>
      <c r="K275" s="17" t="str">
        <f>SUMIFS(G275:J275,$G$14:$J$14,$K$13)</f>
        <v>0</v>
      </c>
      <c r="L275" s="17" t="str">
        <f>SUMIFS(G275:J275,$G$14:$J$14,$L$13)</f>
        <v>0</v>
      </c>
      <c r="M275" s="17"/>
      <c r="N275" s="17"/>
      <c r="O275" s="17"/>
      <c r="P275" s="17" t="str">
        <f>N275+O275</f>
        <v>0</v>
      </c>
      <c r="Q275" s="21"/>
      <c r="R275" s="1"/>
      <c r="S275" s="22" t="str">
        <f>K275+L275</f>
        <v>0</v>
      </c>
      <c r="T275" s="1"/>
      <c r="U275" s="1"/>
      <c r="V275" s="1"/>
      <c r="W275" s="1"/>
      <c r="X275" s="1"/>
      <c r="Y275" s="1"/>
      <c r="Z275" s="1"/>
    </row>
    <row r="276" spans="1:26" customHeight="1" ht="12.75">
      <c r="A276" s="1"/>
      <c r="B276" s="19"/>
      <c r="C276" s="34" t="s">
        <v>308</v>
      </c>
      <c r="D276" s="15" t="s">
        <v>82</v>
      </c>
      <c r="E276" s="16">
        <v>15750000</v>
      </c>
      <c r="F276" s="16">
        <v>0</v>
      </c>
      <c r="G276" s="17">
        <v>0</v>
      </c>
      <c r="H276" s="17">
        <v>0</v>
      </c>
      <c r="I276" s="17">
        <v>0</v>
      </c>
      <c r="J276" s="17">
        <v>0</v>
      </c>
      <c r="K276" s="17" t="str">
        <f>SUMIFS(G276:J276,$G$14:$J$14,$K$13)</f>
        <v>0</v>
      </c>
      <c r="L276" s="17" t="str">
        <f>SUMIFS(G276:J276,$G$14:$J$14,$L$13)</f>
        <v>0</v>
      </c>
      <c r="M276" s="17"/>
      <c r="N276" s="17"/>
      <c r="O276" s="17"/>
      <c r="P276" s="17" t="str">
        <f>N276+O276</f>
        <v>0</v>
      </c>
      <c r="Q276" s="21"/>
      <c r="R276" s="1"/>
      <c r="S276" s="22" t="str">
        <f>K276+L276</f>
        <v>0</v>
      </c>
      <c r="T276" s="1"/>
      <c r="U276" s="1"/>
      <c r="V276" s="1"/>
      <c r="W276" s="1"/>
      <c r="X276" s="1"/>
      <c r="Y276" s="1"/>
      <c r="Z276" s="1"/>
    </row>
    <row r="277" spans="1:26" customHeight="1" ht="12.75">
      <c r="A277" s="1"/>
      <c r="B277" s="19"/>
      <c r="C277" s="34" t="s">
        <v>309</v>
      </c>
      <c r="D277" s="15" t="s">
        <v>82</v>
      </c>
      <c r="E277" s="16">
        <v>0</v>
      </c>
      <c r="F277" s="16">
        <v>350000</v>
      </c>
      <c r="G277" s="17">
        <v>0</v>
      </c>
      <c r="H277" s="17">
        <v>0</v>
      </c>
      <c r="I277" s="17">
        <v>0</v>
      </c>
      <c r="J277" s="17">
        <v>0</v>
      </c>
      <c r="K277" s="17" t="str">
        <f>SUMIFS(G277:J277,$G$14:$J$14,$K$13)</f>
        <v>0</v>
      </c>
      <c r="L277" s="17" t="str">
        <f>SUMIFS(G277:J277,$G$14:$J$14,$L$13)</f>
        <v>0</v>
      </c>
      <c r="M277" s="17"/>
      <c r="N277" s="17"/>
      <c r="O277" s="17"/>
      <c r="P277" s="17" t="str">
        <f>N277+O277</f>
        <v>0</v>
      </c>
      <c r="Q277" s="21"/>
      <c r="R277" s="1"/>
      <c r="S277" s="22" t="str">
        <f>K277+L277</f>
        <v>0</v>
      </c>
      <c r="T277" s="1"/>
      <c r="U277" s="1"/>
      <c r="V277" s="1"/>
      <c r="W277" s="1"/>
      <c r="X277" s="1"/>
      <c r="Y277" s="1"/>
      <c r="Z277" s="1"/>
    </row>
    <row r="278" spans="1:26" customHeight="1" ht="12.75">
      <c r="A278" s="1"/>
      <c r="B278" s="19" t="s">
        <v>88</v>
      </c>
      <c r="C278" s="21" t="s">
        <v>321</v>
      </c>
      <c r="D278" s="15"/>
      <c r="E278" s="16">
        <v>0</v>
      </c>
      <c r="F278" s="16">
        <v>0</v>
      </c>
      <c r="G278" s="12">
        <v>0</v>
      </c>
      <c r="H278" s="12">
        <v>0</v>
      </c>
      <c r="I278" s="12">
        <v>0</v>
      </c>
      <c r="J278" s="12">
        <v>0</v>
      </c>
      <c r="K278" s="12" t="str">
        <f>SUMIFS(G278:J278,$G$14:$J$14,$K$13)</f>
        <v>0</v>
      </c>
      <c r="L278" s="12" t="str">
        <f>SUMIFS(G278:J278,$G$14:$J$14,$L$13)</f>
        <v>0</v>
      </c>
      <c r="M278" s="12"/>
      <c r="N278" s="12"/>
      <c r="O278" s="12"/>
      <c r="P278" s="17" t="str">
        <f>N278+O278</f>
        <v>0</v>
      </c>
      <c r="Q278" s="21"/>
      <c r="R278" s="1"/>
      <c r="S278" s="22" t="str">
        <f>K278+L278</f>
        <v>0</v>
      </c>
      <c r="T278" s="1"/>
      <c r="U278" s="1"/>
      <c r="V278" s="1"/>
      <c r="W278" s="1"/>
      <c r="X278" s="1"/>
      <c r="Y278" s="1"/>
      <c r="Z278" s="1"/>
    </row>
    <row r="279" spans="1:26" customHeight="1" ht="12.75">
      <c r="A279" s="1"/>
      <c r="B279" s="19"/>
      <c r="C279" s="21" t="s">
        <v>322</v>
      </c>
      <c r="D279" s="15" t="s">
        <v>125</v>
      </c>
      <c r="E279" s="16">
        <v>531500</v>
      </c>
      <c r="F279" s="16">
        <v>0</v>
      </c>
      <c r="G279" s="17">
        <v>0</v>
      </c>
      <c r="H279" s="17">
        <v>0</v>
      </c>
      <c r="I279" s="17">
        <v>0</v>
      </c>
      <c r="J279" s="17">
        <v>0</v>
      </c>
      <c r="K279" s="17" t="str">
        <f>SUMIFS(G279:J279,$G$14:$J$14,$K$13)</f>
        <v>0</v>
      </c>
      <c r="L279" s="17" t="str">
        <f>SUMIFS(G279:J279,$G$14:$J$14,$L$13)</f>
        <v>0</v>
      </c>
      <c r="M279" s="17"/>
      <c r="N279" s="17"/>
      <c r="O279" s="17"/>
      <c r="P279" s="17" t="str">
        <f>N279+O279</f>
        <v>0</v>
      </c>
      <c r="Q279" s="21"/>
      <c r="R279" s="1"/>
      <c r="S279" s="22" t="str">
        <f>K279+L279</f>
        <v>0</v>
      </c>
      <c r="T279" s="1"/>
      <c r="U279" s="1"/>
      <c r="V279" s="1"/>
      <c r="W279" s="1"/>
      <c r="X279" s="1"/>
      <c r="Y279" s="1"/>
      <c r="Z279" s="1"/>
    </row>
    <row r="280" spans="1:26" customHeight="1" ht="12.75">
      <c r="A280" s="1"/>
      <c r="B280" s="19"/>
      <c r="C280" s="21" t="s">
        <v>323</v>
      </c>
      <c r="D280" s="15" t="s">
        <v>125</v>
      </c>
      <c r="E280" s="16">
        <v>595500</v>
      </c>
      <c r="F280" s="16">
        <v>0</v>
      </c>
      <c r="G280" s="17">
        <v>0</v>
      </c>
      <c r="H280" s="17">
        <v>0</v>
      </c>
      <c r="I280" s="17">
        <v>0</v>
      </c>
      <c r="J280" s="17">
        <v>0</v>
      </c>
      <c r="K280" s="17" t="str">
        <f>SUMIFS(G280:J280,$G$14:$J$14,$K$13)</f>
        <v>0</v>
      </c>
      <c r="L280" s="17" t="str">
        <f>SUMIFS(G280:J280,$G$14:$J$14,$L$13)</f>
        <v>0</v>
      </c>
      <c r="M280" s="17"/>
      <c r="N280" s="17"/>
      <c r="O280" s="17"/>
      <c r="P280" s="17" t="str">
        <f>N280+O280</f>
        <v>0</v>
      </c>
      <c r="Q280" s="21"/>
      <c r="R280" s="5"/>
      <c r="S280" s="22" t="str">
        <f>K280+L280</f>
        <v>0</v>
      </c>
      <c r="T280" s="1"/>
      <c r="U280" s="1"/>
      <c r="V280" s="1"/>
      <c r="W280" s="1"/>
      <c r="X280" s="1"/>
      <c r="Y280" s="1"/>
      <c r="Z280" s="1"/>
    </row>
    <row r="281" spans="1:26" customHeight="1" ht="12.75">
      <c r="A281" s="1"/>
      <c r="B281" s="19"/>
      <c r="C281" s="21" t="s">
        <v>324</v>
      </c>
      <c r="D281" s="15" t="s">
        <v>125</v>
      </c>
      <c r="E281" s="16">
        <v>715500</v>
      </c>
      <c r="F281" s="16">
        <v>0</v>
      </c>
      <c r="G281" s="17">
        <v>0</v>
      </c>
      <c r="H281" s="17">
        <v>0</v>
      </c>
      <c r="I281" s="17">
        <v>0</v>
      </c>
      <c r="J281" s="17">
        <v>0</v>
      </c>
      <c r="K281" s="17" t="str">
        <f>SUMIFS(G281:J281,$G$14:$J$14,$K$13)</f>
        <v>0</v>
      </c>
      <c r="L281" s="17" t="str">
        <f>SUMIFS(G281:J281,$G$14:$J$14,$L$13)</f>
        <v>0</v>
      </c>
      <c r="M281" s="17"/>
      <c r="N281" s="17"/>
      <c r="O281" s="17"/>
      <c r="P281" s="17" t="str">
        <f>N281+O281</f>
        <v>0</v>
      </c>
      <c r="Q281" s="21"/>
      <c r="R281" s="5"/>
      <c r="S281" s="22" t="str">
        <f>K281+L281</f>
        <v>0</v>
      </c>
      <c r="T281" s="1"/>
      <c r="U281" s="1"/>
      <c r="V281" s="1"/>
      <c r="W281" s="1"/>
      <c r="X281" s="1"/>
      <c r="Y281" s="1"/>
      <c r="Z281" s="1"/>
    </row>
    <row r="282" spans="1:26" customHeight="1" ht="12.75">
      <c r="A282" s="1"/>
      <c r="B282" s="19"/>
      <c r="C282" s="21" t="s">
        <v>325</v>
      </c>
      <c r="D282" s="15" t="s">
        <v>125</v>
      </c>
      <c r="E282" s="16">
        <v>915500</v>
      </c>
      <c r="F282" s="16">
        <v>0</v>
      </c>
      <c r="G282" s="17">
        <v>0</v>
      </c>
      <c r="H282" s="17">
        <v>0</v>
      </c>
      <c r="I282" s="17">
        <v>0</v>
      </c>
      <c r="J282" s="17">
        <v>0</v>
      </c>
      <c r="K282" s="17" t="str">
        <f>SUMIFS(G282:J282,$G$14:$J$14,$K$13)</f>
        <v>0</v>
      </c>
      <c r="L282" s="17" t="str">
        <f>SUMIFS(G282:J282,$G$14:$J$14,$L$13)</f>
        <v>0</v>
      </c>
      <c r="M282" s="17"/>
      <c r="N282" s="17"/>
      <c r="O282" s="17"/>
      <c r="P282" s="17" t="str">
        <f>N282+O282</f>
        <v>0</v>
      </c>
      <c r="Q282" s="21"/>
      <c r="R282" s="5"/>
      <c r="S282" s="22" t="str">
        <f>K282+L282</f>
        <v>0</v>
      </c>
      <c r="T282" s="1"/>
      <c r="U282" s="1"/>
      <c r="V282" s="1"/>
      <c r="W282" s="1"/>
      <c r="X282" s="1"/>
      <c r="Y282" s="1"/>
      <c r="Z282" s="1"/>
    </row>
    <row r="283" spans="1:26" customHeight="1" ht="12.75">
      <c r="A283" s="1"/>
      <c r="B283" s="19"/>
      <c r="C283" s="21" t="s">
        <v>326</v>
      </c>
      <c r="D283" s="15" t="s">
        <v>125</v>
      </c>
      <c r="E283" s="16">
        <v>1240000</v>
      </c>
      <c r="F283" s="16">
        <v>0</v>
      </c>
      <c r="G283" s="17">
        <v>0</v>
      </c>
      <c r="H283" s="17">
        <v>0</v>
      </c>
      <c r="I283" s="17">
        <v>0</v>
      </c>
      <c r="J283" s="17">
        <v>0</v>
      </c>
      <c r="K283" s="17" t="str">
        <f>SUMIFS(G283:J283,$G$14:$J$14,$K$13)</f>
        <v>0</v>
      </c>
      <c r="L283" s="17" t="str">
        <f>SUMIFS(G283:J283,$G$14:$J$14,$L$13)</f>
        <v>0</v>
      </c>
      <c r="M283" s="17"/>
      <c r="N283" s="17"/>
      <c r="O283" s="17"/>
      <c r="P283" s="17" t="str">
        <f>N283+O283</f>
        <v>0</v>
      </c>
      <c r="Q283" s="21"/>
      <c r="R283" s="5"/>
      <c r="S283" s="22" t="str">
        <f>K283+L283</f>
        <v>0</v>
      </c>
      <c r="T283" s="1"/>
      <c r="U283" s="1"/>
      <c r="V283" s="1"/>
      <c r="W283" s="1"/>
      <c r="X283" s="1"/>
      <c r="Y283" s="1"/>
      <c r="Z283" s="1"/>
    </row>
    <row r="284" spans="1:26" customHeight="1" ht="12.75">
      <c r="A284" s="1"/>
      <c r="B284" s="19" t="s">
        <v>92</v>
      </c>
      <c r="C284" s="21" t="s">
        <v>327</v>
      </c>
      <c r="D284" s="15"/>
      <c r="E284" s="16">
        <v>0</v>
      </c>
      <c r="F284" s="16">
        <v>0</v>
      </c>
      <c r="G284" s="12">
        <v>0</v>
      </c>
      <c r="H284" s="12">
        <v>0</v>
      </c>
      <c r="I284" s="12">
        <v>0</v>
      </c>
      <c r="J284" s="12">
        <v>0</v>
      </c>
      <c r="K284" s="12" t="str">
        <f>SUMIFS(G284:J284,$G$14:$J$14,$K$13)</f>
        <v>0</v>
      </c>
      <c r="L284" s="12" t="str">
        <f>SUMIFS(G284:J284,$G$14:$J$14,$L$13)</f>
        <v>0</v>
      </c>
      <c r="M284" s="12"/>
      <c r="N284" s="12"/>
      <c r="O284" s="12"/>
      <c r="P284" s="17" t="str">
        <f>N284+O284</f>
        <v>0</v>
      </c>
      <c r="Q284" s="21"/>
      <c r="R284" s="5"/>
      <c r="S284" s="22" t="str">
        <f>K284+L284</f>
        <v>0</v>
      </c>
      <c r="T284" s="1"/>
      <c r="U284" s="1"/>
      <c r="V284" s="1"/>
      <c r="W284" s="1"/>
      <c r="X284" s="1"/>
      <c r="Y284" s="1"/>
      <c r="Z284" s="1"/>
    </row>
    <row r="285" spans="1:26" customHeight="1" ht="12.75">
      <c r="A285" s="1"/>
      <c r="B285" s="19"/>
      <c r="C285" s="21" t="s">
        <v>328</v>
      </c>
      <c r="D285" s="15" t="s">
        <v>125</v>
      </c>
      <c r="E285" s="16">
        <v>103000</v>
      </c>
      <c r="F285" s="16">
        <v>0</v>
      </c>
      <c r="G285" s="17">
        <v>0</v>
      </c>
      <c r="H285" s="17">
        <v>0</v>
      </c>
      <c r="I285" s="17">
        <v>0</v>
      </c>
      <c r="J285" s="17">
        <v>0</v>
      </c>
      <c r="K285" s="17" t="str">
        <f>SUMIFS(G285:J285,$G$14:$J$14,$K$13)</f>
        <v>0</v>
      </c>
      <c r="L285" s="17" t="str">
        <f>SUMIFS(G285:J285,$G$14:$J$14,$L$13)</f>
        <v>0</v>
      </c>
      <c r="M285" s="17"/>
      <c r="N285" s="17"/>
      <c r="O285" s="17"/>
      <c r="P285" s="17" t="str">
        <f>N285+O285</f>
        <v>0</v>
      </c>
      <c r="Q285" s="21"/>
      <c r="R285" s="5"/>
      <c r="S285" s="22" t="str">
        <f>K285+L285</f>
        <v>0</v>
      </c>
      <c r="T285" s="1"/>
      <c r="U285" s="1"/>
      <c r="V285" s="1"/>
      <c r="W285" s="1"/>
      <c r="X285" s="1"/>
      <c r="Y285" s="1"/>
      <c r="Z285" s="1"/>
    </row>
    <row r="286" spans="1:26" customHeight="1" ht="12.75">
      <c r="A286" s="1"/>
      <c r="B286" s="19"/>
      <c r="C286" s="21" t="s">
        <v>329</v>
      </c>
      <c r="D286" s="15" t="s">
        <v>125</v>
      </c>
      <c r="E286" s="16">
        <v>73000</v>
      </c>
      <c r="F286" s="16">
        <v>0</v>
      </c>
      <c r="G286" s="17">
        <v>0</v>
      </c>
      <c r="H286" s="17">
        <v>0</v>
      </c>
      <c r="I286" s="17">
        <v>0</v>
      </c>
      <c r="J286" s="17">
        <v>0</v>
      </c>
      <c r="K286" s="17" t="str">
        <f>SUMIFS(G286:J286,$G$14:$J$14,$K$13)</f>
        <v>0</v>
      </c>
      <c r="L286" s="17" t="str">
        <f>SUMIFS(G286:J286,$G$14:$J$14,$L$13)</f>
        <v>0</v>
      </c>
      <c r="M286" s="17"/>
      <c r="N286" s="17"/>
      <c r="O286" s="17"/>
      <c r="P286" s="17" t="str">
        <f>N286+O286</f>
        <v>0</v>
      </c>
      <c r="Q286" s="21"/>
      <c r="R286" s="5"/>
      <c r="S286" s="22" t="str">
        <f>K286+L286</f>
        <v>0</v>
      </c>
      <c r="T286" s="1"/>
      <c r="U286" s="1"/>
      <c r="V286" s="1"/>
      <c r="W286" s="1"/>
      <c r="X286" s="1"/>
      <c r="Y286" s="1"/>
      <c r="Z286" s="1"/>
    </row>
    <row r="287" spans="1:26" customHeight="1" ht="12.75">
      <c r="A287" s="1"/>
      <c r="B287" s="19"/>
      <c r="C287" s="21" t="s">
        <v>330</v>
      </c>
      <c r="D287" s="15" t="s">
        <v>125</v>
      </c>
      <c r="E287" s="16">
        <v>103000</v>
      </c>
      <c r="F287" s="16">
        <v>0</v>
      </c>
      <c r="G287" s="17">
        <v>0</v>
      </c>
      <c r="H287" s="17">
        <v>0</v>
      </c>
      <c r="I287" s="17">
        <v>0</v>
      </c>
      <c r="J287" s="17">
        <v>0</v>
      </c>
      <c r="K287" s="17" t="str">
        <f>SUMIFS(G287:J287,$G$14:$J$14,$K$13)</f>
        <v>0</v>
      </c>
      <c r="L287" s="17" t="str">
        <f>SUMIFS(G287:J287,$G$14:$J$14,$L$13)</f>
        <v>0</v>
      </c>
      <c r="M287" s="17"/>
      <c r="N287" s="17"/>
      <c r="O287" s="17"/>
      <c r="P287" s="17" t="str">
        <f>N287+O287</f>
        <v>0</v>
      </c>
      <c r="Q287" s="21"/>
      <c r="R287" s="5"/>
      <c r="S287" s="22" t="str">
        <f>K287+L287</f>
        <v>0</v>
      </c>
      <c r="T287" s="1"/>
      <c r="U287" s="1"/>
      <c r="V287" s="1"/>
      <c r="W287" s="1"/>
      <c r="X287" s="1"/>
      <c r="Y287" s="1"/>
      <c r="Z287" s="1"/>
    </row>
    <row r="288" spans="1:26" customHeight="1" ht="12.75">
      <c r="A288" s="1"/>
      <c r="B288" s="19"/>
      <c r="C288" s="21" t="s">
        <v>331</v>
      </c>
      <c r="D288" s="15" t="s">
        <v>125</v>
      </c>
      <c r="E288" s="16">
        <v>73000</v>
      </c>
      <c r="F288" s="16">
        <v>0</v>
      </c>
      <c r="G288" s="17">
        <v>0</v>
      </c>
      <c r="H288" s="17">
        <v>0</v>
      </c>
      <c r="I288" s="17">
        <v>0</v>
      </c>
      <c r="J288" s="17">
        <v>0</v>
      </c>
      <c r="K288" s="17" t="str">
        <f>SUMIFS(G288:J288,$G$14:$J$14,$K$13)</f>
        <v>0</v>
      </c>
      <c r="L288" s="17" t="str">
        <f>SUMIFS(G288:J288,$G$14:$J$14,$L$13)</f>
        <v>0</v>
      </c>
      <c r="M288" s="17"/>
      <c r="N288" s="17"/>
      <c r="O288" s="17"/>
      <c r="P288" s="17" t="str">
        <f>N288+O288</f>
        <v>0</v>
      </c>
      <c r="Q288" s="21"/>
      <c r="R288" s="5"/>
      <c r="S288" s="22" t="str">
        <f>K288+L288</f>
        <v>0</v>
      </c>
      <c r="T288" s="1"/>
      <c r="U288" s="1"/>
      <c r="V288" s="1"/>
      <c r="W288" s="1"/>
      <c r="X288" s="1"/>
      <c r="Y288" s="1"/>
      <c r="Z288" s="1"/>
    </row>
    <row r="289" spans="1:26" customHeight="1" ht="12.75">
      <c r="A289" s="1"/>
      <c r="B289" s="14" t="s">
        <v>332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 t="str">
        <f>K289+L289</f>
        <v>0</v>
      </c>
      <c r="T289" s="1"/>
      <c r="U289" s="18"/>
      <c r="V289" s="18"/>
      <c r="W289" s="18"/>
      <c r="X289" s="18"/>
      <c r="Y289" s="18"/>
      <c r="Z289" s="18"/>
    </row>
    <row r="290" spans="1:26" customHeight="1" ht="12.75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 t="str">
        <f>K290+L290</f>
        <v>0</v>
      </c>
      <c r="T290" s="1"/>
      <c r="U290" s="1"/>
      <c r="V290" s="1"/>
      <c r="W290" s="1"/>
      <c r="X290" s="1"/>
      <c r="Y290" s="1"/>
      <c r="Z290" s="1"/>
    </row>
    <row r="291" spans="1:26" customHeight="1" ht="12.75">
      <c r="A291" s="1"/>
      <c r="B291" s="13">
        <v>2.5</v>
      </c>
      <c r="C291" s="14" t="s">
        <v>333</v>
      </c>
      <c r="D291" s="15"/>
      <c r="E291" s="16"/>
      <c r="F291" s="16"/>
      <c r="G291" s="16">
        <v>0</v>
      </c>
      <c r="H291" s="16">
        <v>0</v>
      </c>
      <c r="I291" s="16">
        <v>0</v>
      </c>
      <c r="J291" s="16">
        <v>0</v>
      </c>
      <c r="K291" s="16"/>
      <c r="L291" s="16"/>
      <c r="M291" s="16"/>
      <c r="N291" s="16"/>
      <c r="O291" s="16"/>
      <c r="P291" s="16"/>
      <c r="Q291" s="21"/>
      <c r="R291" s="5"/>
      <c r="S291" s="22" t="str">
        <f>K291+L291</f>
        <v>0</v>
      </c>
      <c r="T291" s="1"/>
      <c r="U291" s="18"/>
      <c r="V291" s="18"/>
      <c r="W291" s="18"/>
      <c r="X291" s="18"/>
      <c r="Y291" s="18"/>
      <c r="Z291" s="18"/>
    </row>
    <row r="292" spans="1:26" customHeight="1" ht="12.75">
      <c r="A292" s="1"/>
      <c r="B292" s="19"/>
      <c r="C292" s="21" t="s">
        <v>334</v>
      </c>
      <c r="D292" s="15"/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 t="str">
        <f>SUMIFS(G292:J292,$G$14:$J$14,$K$13)</f>
        <v>0</v>
      </c>
      <c r="L292" s="16" t="str">
        <f>SUMIFS(G292:J292,$G$14:$J$14,$L$13)</f>
        <v>0</v>
      </c>
      <c r="M292" s="16"/>
      <c r="N292" s="16"/>
      <c r="O292" s="16"/>
      <c r="P292" s="17" t="str">
        <f>N292+O292</f>
        <v>0</v>
      </c>
      <c r="Q292" s="21"/>
      <c r="R292" s="5"/>
      <c r="S292" s="22" t="str">
        <f>K292+L292</f>
        <v>0</v>
      </c>
      <c r="T292" s="1"/>
      <c r="U292" s="1"/>
      <c r="V292" s="1"/>
      <c r="W292" s="1"/>
      <c r="X292" s="1"/>
      <c r="Y292" s="1"/>
      <c r="Z292" s="1"/>
    </row>
    <row r="293" spans="1:26" customHeight="1" ht="12.75">
      <c r="A293" s="1"/>
      <c r="B293" s="19" t="s">
        <v>335</v>
      </c>
      <c r="C293" s="21" t="s">
        <v>336</v>
      </c>
      <c r="D293" s="15" t="s">
        <v>130</v>
      </c>
      <c r="E293" s="16">
        <v>0</v>
      </c>
      <c r="F293" s="16">
        <v>22500</v>
      </c>
      <c r="G293" s="17">
        <v>0</v>
      </c>
      <c r="H293" s="17">
        <v>0</v>
      </c>
      <c r="I293" s="17">
        <v>0</v>
      </c>
      <c r="J293" s="17">
        <v>0</v>
      </c>
      <c r="K293" s="17" t="str">
        <f>SUMIFS(G293:J293,$G$14:$J$14,$K$13)</f>
        <v>0</v>
      </c>
      <c r="L293" s="17" t="str">
        <f>SUMIFS(G293:J293,$G$14:$J$14,$L$13)</f>
        <v>0</v>
      </c>
      <c r="M293" s="17"/>
      <c r="N293" s="17"/>
      <c r="O293" s="17"/>
      <c r="P293" s="17" t="str">
        <f>N293+O293</f>
        <v>0</v>
      </c>
      <c r="Q293" s="21"/>
      <c r="R293" s="5"/>
      <c r="S293" s="22" t="str">
        <f>K293+L293</f>
        <v>0</v>
      </c>
      <c r="T293" s="1"/>
      <c r="U293" s="1"/>
      <c r="V293" s="1"/>
      <c r="W293" s="1"/>
      <c r="X293" s="1"/>
      <c r="Y293" s="1"/>
      <c r="Z293" s="1"/>
    </row>
    <row r="294" spans="1:26" customHeight="1" ht="12.75">
      <c r="A294" s="1"/>
      <c r="B294" s="19" t="s">
        <v>337</v>
      </c>
      <c r="C294" s="21" t="s">
        <v>338</v>
      </c>
      <c r="D294" s="15" t="s">
        <v>130</v>
      </c>
      <c r="E294" s="16">
        <v>0</v>
      </c>
      <c r="F294" s="16">
        <v>22500</v>
      </c>
      <c r="G294" s="17">
        <v>0</v>
      </c>
      <c r="H294" s="17">
        <v>0</v>
      </c>
      <c r="I294" s="17">
        <v>0</v>
      </c>
      <c r="J294" s="17">
        <v>1</v>
      </c>
      <c r="K294" s="17" t="str">
        <f>SUMIFS(G294:J294,$G$14:$J$14,$K$13)</f>
        <v>0</v>
      </c>
      <c r="L294" s="17" t="str">
        <f>SUMIFS(G294:J294,$G$14:$J$14,$L$13)</f>
        <v>0</v>
      </c>
      <c r="M294" s="17"/>
      <c r="N294" s="17"/>
      <c r="O294" s="17" t="str">
        <f>L294*F294</f>
        <v>0</v>
      </c>
      <c r="P294" s="17" t="str">
        <f>N294+O294</f>
        <v>0</v>
      </c>
      <c r="Q294" s="21"/>
      <c r="R294" s="5"/>
      <c r="S294" s="22" t="str">
        <f>K294+L294</f>
        <v>0</v>
      </c>
      <c r="T294" s="1"/>
      <c r="U294" s="1"/>
      <c r="V294" s="1"/>
      <c r="W294" s="1"/>
      <c r="X294" s="1"/>
      <c r="Y294" s="1"/>
      <c r="Z294" s="1"/>
    </row>
    <row r="295" spans="1:26" customHeight="1" ht="12.75">
      <c r="A295" s="1"/>
      <c r="B295" s="19" t="s">
        <v>339</v>
      </c>
      <c r="C295" s="21" t="s">
        <v>340</v>
      </c>
      <c r="D295" s="15" t="s">
        <v>130</v>
      </c>
      <c r="E295" s="16">
        <v>0</v>
      </c>
      <c r="F295" s="16">
        <v>22500</v>
      </c>
      <c r="G295" s="17">
        <v>0</v>
      </c>
      <c r="H295" s="17">
        <v>10</v>
      </c>
      <c r="I295" s="17">
        <v>0</v>
      </c>
      <c r="J295" s="17">
        <v>0</v>
      </c>
      <c r="K295" s="17" t="str">
        <f>SUMIFS(G295:J295,$G$14:$J$14,$K$13)</f>
        <v>0</v>
      </c>
      <c r="L295" s="17" t="str">
        <f>SUMIFS(G295:J295,$G$14:$J$14,$L$13)</f>
        <v>0</v>
      </c>
      <c r="M295" s="17"/>
      <c r="N295" s="17"/>
      <c r="O295" s="17" t="str">
        <f>L295*F295</f>
        <v>0</v>
      </c>
      <c r="P295" s="17" t="str">
        <f>N295+O295</f>
        <v>0</v>
      </c>
      <c r="Q295" s="21"/>
      <c r="R295" s="5"/>
      <c r="S295" s="22" t="str">
        <f>K295+L295</f>
        <v>0</v>
      </c>
      <c r="T295" s="1"/>
      <c r="U295" s="1"/>
      <c r="V295" s="1"/>
      <c r="W295" s="1"/>
      <c r="X295" s="1"/>
      <c r="Y295" s="1"/>
      <c r="Z295" s="1"/>
    </row>
    <row r="296" spans="1:26" customHeight="1" ht="12.75">
      <c r="A296" s="1"/>
      <c r="B296" s="14" t="s">
        <v>341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 t="str">
        <f>K296+L296</f>
        <v>0</v>
      </c>
      <c r="T296" s="1"/>
      <c r="U296" s="18"/>
      <c r="V296" s="18"/>
      <c r="W296" s="18"/>
      <c r="X296" s="18"/>
      <c r="Y296" s="18"/>
      <c r="Z296" s="18"/>
    </row>
    <row r="297" spans="1:26" customHeight="1" ht="12.75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 t="str">
        <f>K297+L297</f>
        <v>0</v>
      </c>
      <c r="T297" s="1"/>
      <c r="U297" s="1"/>
      <c r="V297" s="1"/>
      <c r="W297" s="1"/>
      <c r="X297" s="1"/>
      <c r="Y297" s="1"/>
      <c r="Z297" s="1"/>
    </row>
    <row r="298" spans="1:26" customHeight="1" ht="12.75">
      <c r="A298" s="1"/>
      <c r="B298" s="13">
        <v>2.6</v>
      </c>
      <c r="C298" s="14" t="s">
        <v>342</v>
      </c>
      <c r="D298" s="15"/>
      <c r="E298" s="16"/>
      <c r="F298" s="16"/>
      <c r="G298" s="17">
        <v>0</v>
      </c>
      <c r="H298" s="17">
        <v>0</v>
      </c>
      <c r="I298" s="17">
        <v>0</v>
      </c>
      <c r="J298" s="17">
        <v>0</v>
      </c>
      <c r="K298" s="17"/>
      <c r="L298" s="17"/>
      <c r="M298" s="17"/>
      <c r="N298" s="17"/>
      <c r="O298" s="17"/>
      <c r="P298" s="17"/>
      <c r="Q298" s="21"/>
      <c r="R298" s="5"/>
      <c r="S298" s="22" t="str">
        <f>K298+L298</f>
        <v>0</v>
      </c>
      <c r="T298" s="1"/>
      <c r="U298" s="18"/>
      <c r="V298" s="18"/>
      <c r="W298" s="18"/>
      <c r="X298" s="18"/>
      <c r="Y298" s="18"/>
      <c r="Z298" s="18"/>
    </row>
    <row r="299" spans="1:26" customHeight="1" ht="12.75">
      <c r="A299" s="1"/>
      <c r="B299" s="19" t="s">
        <v>36</v>
      </c>
      <c r="C299" s="34" t="s">
        <v>343</v>
      </c>
      <c r="D299" s="15" t="s">
        <v>39</v>
      </c>
      <c r="E299" s="16">
        <v>0</v>
      </c>
      <c r="F299" s="16">
        <v>1000</v>
      </c>
      <c r="G299" s="17">
        <v>0</v>
      </c>
      <c r="H299" s="17">
        <v>1472</v>
      </c>
      <c r="I299" s="17">
        <v>0</v>
      </c>
      <c r="J299" s="17">
        <v>20</v>
      </c>
      <c r="K299" s="17" t="str">
        <f>SUMIFS(G299:J299,$G$14:$J$14,$K$13)</f>
        <v>0</v>
      </c>
      <c r="L299" s="17" t="str">
        <f>SUMIFS(G299:J299,$G$14:$J$14,$L$13)</f>
        <v>0</v>
      </c>
      <c r="M299" s="17"/>
      <c r="N299" s="17"/>
      <c r="O299" s="17" t="str">
        <f>L299*F299</f>
        <v>0</v>
      </c>
      <c r="P299" s="17" t="str">
        <f>N299+O299</f>
        <v>0</v>
      </c>
      <c r="Q299" s="21"/>
      <c r="R299" s="5"/>
      <c r="S299" s="22" t="str">
        <f>K299+L299</f>
        <v>0</v>
      </c>
      <c r="T299" s="1"/>
      <c r="U299" s="1"/>
      <c r="V299" s="1"/>
      <c r="W299" s="1"/>
      <c r="X299" s="1"/>
      <c r="Y299" s="1"/>
      <c r="Z299" s="1"/>
    </row>
    <row r="300" spans="1:26" customHeight="1" ht="12.75">
      <c r="A300" s="1"/>
      <c r="B300" s="19" t="s">
        <v>67</v>
      </c>
      <c r="C300" s="34" t="s">
        <v>344</v>
      </c>
      <c r="D300" s="15" t="s">
        <v>345</v>
      </c>
      <c r="E300" s="16">
        <v>0</v>
      </c>
      <c r="F300" s="16">
        <v>1300000</v>
      </c>
      <c r="G300" s="17">
        <v>0</v>
      </c>
      <c r="H300" s="17">
        <v>1</v>
      </c>
      <c r="I300" s="17">
        <v>0</v>
      </c>
      <c r="J300" s="17">
        <v>1</v>
      </c>
      <c r="K300" s="17" t="str">
        <f>SUMIFS(G300:J300,$G$14:$J$14,$K$13)</f>
        <v>0</v>
      </c>
      <c r="L300" s="17" t="str">
        <f>SUMIFS(G300:J300,$G$14:$J$14,$L$13)</f>
        <v>0</v>
      </c>
      <c r="M300" s="17"/>
      <c r="N300" s="17"/>
      <c r="O300" s="17" t="str">
        <f>L300*F300</f>
        <v>0</v>
      </c>
      <c r="P300" s="17" t="str">
        <f>N300+O300</f>
        <v>0</v>
      </c>
      <c r="Q300" s="21"/>
      <c r="R300" s="5"/>
      <c r="S300" s="22" t="str">
        <f>K300+L300</f>
        <v>0</v>
      </c>
      <c r="T300" s="1"/>
      <c r="U300" s="1"/>
      <c r="V300" s="1"/>
      <c r="W300" s="1"/>
      <c r="X300" s="1"/>
      <c r="Y300" s="1"/>
      <c r="Z300" s="1"/>
    </row>
    <row r="301" spans="1:26" customHeight="1" ht="12.75">
      <c r="A301" s="1"/>
      <c r="B301" s="14" t="s">
        <v>346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 t="str">
        <f>K301+L301</f>
        <v>0</v>
      </c>
      <c r="T301" s="1"/>
      <c r="U301" s="18"/>
      <c r="V301" s="18"/>
      <c r="W301" s="18"/>
      <c r="X301" s="18"/>
      <c r="Y301" s="18"/>
      <c r="Z301" s="18"/>
    </row>
    <row r="302" spans="1:26" customHeight="1" ht="12.75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 t="str">
        <f>K302+L302</f>
        <v>0</v>
      </c>
      <c r="T302" s="1"/>
      <c r="U302" s="1"/>
      <c r="V302" s="1"/>
      <c r="W302" s="1"/>
      <c r="X302" s="1"/>
      <c r="Y302" s="1"/>
      <c r="Z302" s="1"/>
    </row>
    <row r="303" spans="1:26" customHeight="1" ht="12.75">
      <c r="A303" s="1"/>
      <c r="B303" s="13">
        <v>3</v>
      </c>
      <c r="C303" s="14" t="s">
        <v>347</v>
      </c>
      <c r="D303" s="15"/>
      <c r="E303" s="16"/>
      <c r="F303" s="16"/>
      <c r="G303" s="17">
        <v>0</v>
      </c>
      <c r="H303" s="17">
        <v>0</v>
      </c>
      <c r="I303" s="17">
        <v>0</v>
      </c>
      <c r="J303" s="17">
        <v>0</v>
      </c>
      <c r="K303" s="17"/>
      <c r="L303" s="17"/>
      <c r="M303" s="17"/>
      <c r="N303" s="17"/>
      <c r="O303" s="17"/>
      <c r="P303" s="17"/>
      <c r="Q303" s="21"/>
      <c r="R303" s="5"/>
      <c r="S303" s="22" t="str">
        <f>K303+L303</f>
        <v>0</v>
      </c>
      <c r="T303" s="1"/>
      <c r="U303" s="18"/>
      <c r="V303" s="18"/>
      <c r="W303" s="18"/>
      <c r="X303" s="18"/>
      <c r="Y303" s="18"/>
      <c r="Z303" s="18"/>
    </row>
    <row r="304" spans="1:26" customHeight="1" ht="12.75">
      <c r="A304" s="1"/>
      <c r="B304" s="19" t="s">
        <v>36</v>
      </c>
      <c r="C304" s="43" t="s">
        <v>348</v>
      </c>
      <c r="D304" s="15" t="s">
        <v>39</v>
      </c>
      <c r="E304" s="16">
        <v>0</v>
      </c>
      <c r="F304" s="16">
        <v>1750</v>
      </c>
      <c r="G304" s="17">
        <v>0</v>
      </c>
      <c r="H304" s="17">
        <v>1472</v>
      </c>
      <c r="I304" s="17">
        <v>0</v>
      </c>
      <c r="J304" s="17">
        <v>20</v>
      </c>
      <c r="K304" s="17" t="str">
        <f>SUMIFS(G304:J304,$G$14:$J$14,$K$13)</f>
        <v>0</v>
      </c>
      <c r="L304" s="17" t="str">
        <f>SUMIFS(G304:J304,$G$14:$J$14,$L$13)</f>
        <v>0</v>
      </c>
      <c r="M304" s="17" t="str">
        <f>L304*F304</f>
        <v>0</v>
      </c>
      <c r="N304" s="17"/>
      <c r="O304" s="17"/>
      <c r="P304" s="17" t="str">
        <f>N304+O304</f>
        <v>0</v>
      </c>
      <c r="Q304" s="21"/>
      <c r="R304" s="5"/>
      <c r="S304" s="22" t="str">
        <f>K304+L304</f>
        <v>0</v>
      </c>
      <c r="T304" s="1"/>
      <c r="U304" s="1"/>
      <c r="V304" s="1"/>
      <c r="W304" s="1"/>
      <c r="X304" s="1"/>
      <c r="Y304" s="1"/>
      <c r="Z304" s="1"/>
    </row>
    <row r="305" spans="1:26" customHeight="1" ht="12.75">
      <c r="A305" s="1"/>
      <c r="B305" s="14" t="s">
        <v>349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 t="str">
        <f>K305+L305</f>
        <v>0</v>
      </c>
      <c r="T305" s="1"/>
      <c r="U305" s="18"/>
      <c r="V305" s="18"/>
      <c r="W305" s="18"/>
      <c r="X305" s="18"/>
      <c r="Y305" s="18"/>
      <c r="Z305" s="18"/>
    </row>
    <row r="306" spans="1:26" customHeight="1" ht="12.75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 t="str">
        <f>K306+L306</f>
        <v>0</v>
      </c>
      <c r="T306" s="1"/>
      <c r="U306" s="1"/>
      <c r="V306" s="1"/>
      <c r="W306" s="1"/>
      <c r="X306" s="1"/>
      <c r="Y306" s="1"/>
      <c r="Z306" s="1"/>
    </row>
    <row r="307" spans="1:26" customHeight="1" ht="12.75">
      <c r="A307" s="1"/>
      <c r="B307" s="13">
        <v>4</v>
      </c>
      <c r="C307" s="45" t="s">
        <v>350</v>
      </c>
      <c r="D307" s="19"/>
      <c r="E307" s="17"/>
      <c r="F307" s="17"/>
      <c r="G307" s="44">
        <v>0</v>
      </c>
      <c r="H307" s="44">
        <v>1</v>
      </c>
      <c r="I307" s="44">
        <v>0</v>
      </c>
      <c r="J307" s="44">
        <v>1</v>
      </c>
      <c r="K307" s="44"/>
      <c r="L307" s="44"/>
      <c r="M307" s="44"/>
      <c r="N307" s="44"/>
      <c r="O307" s="44"/>
      <c r="P307" s="44"/>
      <c r="Q307" s="21"/>
      <c r="R307" s="5"/>
      <c r="S307" s="22" t="str">
        <f>K307+L307</f>
        <v>0</v>
      </c>
      <c r="T307" s="1"/>
      <c r="U307" s="18"/>
      <c r="V307" s="18"/>
      <c r="W307" s="18"/>
      <c r="X307" s="18"/>
      <c r="Y307" s="18"/>
      <c r="Z307" s="18"/>
    </row>
    <row r="308" spans="1:26" customHeight="1" ht="12.75">
      <c r="A308" s="1"/>
      <c r="B308" s="19" t="s">
        <v>36</v>
      </c>
      <c r="C308" s="46" t="s">
        <v>351</v>
      </c>
      <c r="D308" s="19" t="s">
        <v>31</v>
      </c>
      <c r="E308" s="47">
        <v>0</v>
      </c>
      <c r="F308" s="47">
        <v>2420000</v>
      </c>
      <c r="G308" s="17">
        <v>0</v>
      </c>
      <c r="H308" s="17">
        <v>1</v>
      </c>
      <c r="I308" s="17">
        <v>0</v>
      </c>
      <c r="J308" s="17">
        <v>1</v>
      </c>
      <c r="K308" s="17" t="str">
        <f>SUMIFS(G308:J308,$G$14:$J$14,$K$13)</f>
        <v>0</v>
      </c>
      <c r="L308" s="17" t="str">
        <f>SUMIFS(G308:J308,$G$14:$J$14,$L$13)</f>
        <v>0</v>
      </c>
      <c r="M308" s="17"/>
      <c r="N308" s="17"/>
      <c r="O308" s="17" t="str">
        <f>L308*F308</f>
        <v>0</v>
      </c>
      <c r="P308" s="17" t="str">
        <f>N308+O308</f>
        <v>0</v>
      </c>
      <c r="Q308" s="21"/>
      <c r="R308" s="5"/>
      <c r="S308" s="22" t="str">
        <f>K308+L308</f>
        <v>0</v>
      </c>
      <c r="T308" s="1"/>
      <c r="U308" s="1"/>
      <c r="V308" s="1"/>
      <c r="W308" s="1"/>
      <c r="X308" s="1"/>
      <c r="Y308" s="1"/>
      <c r="Z308" s="1"/>
    </row>
    <row r="309" spans="1:26" customHeight="1" ht="12.75">
      <c r="A309" s="1"/>
      <c r="B309" s="19" t="s">
        <v>67</v>
      </c>
      <c r="C309" s="46" t="s">
        <v>352</v>
      </c>
      <c r="D309" s="19" t="s">
        <v>31</v>
      </c>
      <c r="E309" s="47"/>
      <c r="F309" s="47">
        <v>3500000</v>
      </c>
      <c r="G309" s="17">
        <v>0</v>
      </c>
      <c r="H309" s="17">
        <v>0</v>
      </c>
      <c r="I309" s="17">
        <v>0</v>
      </c>
      <c r="J309" s="17">
        <v>0</v>
      </c>
      <c r="K309" s="17" t="str">
        <f>SUMIFS(G309:J309,$G$14:$J$14,$K$13)</f>
        <v>0</v>
      </c>
      <c r="L309" s="17" t="str">
        <f>SUMIFS(G309:J309,$G$14:$J$14,$L$13)</f>
        <v>0</v>
      </c>
      <c r="M309" s="17"/>
      <c r="N309" s="17"/>
      <c r="O309" s="17"/>
      <c r="P309" s="17" t="str">
        <f>N309+O309</f>
        <v>0</v>
      </c>
      <c r="Q309" s="21"/>
      <c r="R309" s="5"/>
      <c r="S309" s="22" t="str">
        <f>K309+L309</f>
        <v>0</v>
      </c>
      <c r="T309" s="1"/>
      <c r="U309" s="1"/>
      <c r="V309" s="1"/>
      <c r="W309" s="1"/>
      <c r="X309" s="1"/>
      <c r="Y309" s="1"/>
      <c r="Z309" s="1"/>
    </row>
    <row r="310" spans="1:26" customHeight="1" ht="12.75">
      <c r="A310" s="1"/>
      <c r="B310" s="14" t="s">
        <v>353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 t="str">
        <f>K310+L310</f>
        <v>0</v>
      </c>
      <c r="T310" s="1"/>
      <c r="U310" s="18"/>
      <c r="V310" s="18"/>
      <c r="W310" s="18"/>
      <c r="X310" s="18"/>
      <c r="Y310" s="18"/>
      <c r="Z310" s="18"/>
    </row>
    <row r="311" spans="1:26" customHeight="1" ht="12.75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 t="str">
        <f>K311+L311</f>
        <v>0</v>
      </c>
      <c r="T311" s="1"/>
      <c r="U311" s="1"/>
      <c r="V311" s="1"/>
      <c r="W311" s="1"/>
      <c r="X311" s="1"/>
      <c r="Y311" s="1"/>
      <c r="Z311" s="1"/>
    </row>
    <row r="312" spans="1:26" customHeight="1" ht="12.75">
      <c r="A312" s="1"/>
      <c r="B312" s="13">
        <v>5</v>
      </c>
      <c r="C312" s="45" t="s">
        <v>354</v>
      </c>
      <c r="D312" s="15"/>
      <c r="E312" s="16"/>
      <c r="F312" s="16"/>
      <c r="G312" s="16">
        <v>0</v>
      </c>
      <c r="H312" s="16">
        <v>0</v>
      </c>
      <c r="I312" s="16">
        <v>0</v>
      </c>
      <c r="J312" s="16">
        <v>0</v>
      </c>
      <c r="K312" s="16"/>
      <c r="L312" s="16"/>
      <c r="M312" s="16"/>
      <c r="N312" s="16"/>
      <c r="O312" s="16"/>
      <c r="P312" s="16"/>
      <c r="Q312" s="21"/>
      <c r="R312" s="5"/>
      <c r="S312" s="22" t="str">
        <f>K312+L312</f>
        <v>0</v>
      </c>
      <c r="T312" s="1"/>
      <c r="U312" s="18"/>
      <c r="V312" s="18"/>
      <c r="W312" s="18"/>
      <c r="X312" s="18"/>
      <c r="Y312" s="18"/>
      <c r="Z312" s="18"/>
    </row>
    <row r="313" spans="1:26" customHeight="1" ht="12.75">
      <c r="A313" s="1"/>
      <c r="B313" s="19" t="s">
        <v>36</v>
      </c>
      <c r="C313" s="43" t="s">
        <v>355</v>
      </c>
      <c r="D313" s="15" t="s">
        <v>31</v>
      </c>
      <c r="E313" s="16">
        <v>0</v>
      </c>
      <c r="F313" s="16">
        <v>1</v>
      </c>
      <c r="G313" s="17">
        <v>0</v>
      </c>
      <c r="H313" s="17">
        <v>0</v>
      </c>
      <c r="I313" s="17">
        <v>0</v>
      </c>
      <c r="J313" s="17">
        <v>0</v>
      </c>
      <c r="K313" s="17" t="str">
        <f>SUMIFS(G313:J313,$G$14:$J$14,$K$13)</f>
        <v>0</v>
      </c>
      <c r="L313" s="17" t="str">
        <f>SUMIFS(G313:J313,$G$14:$J$14,$L$13)</f>
        <v>0</v>
      </c>
      <c r="M313" s="17"/>
      <c r="N313" s="17"/>
      <c r="O313" s="17"/>
      <c r="P313" s="17" t="str">
        <f>N313+O313</f>
        <v>0</v>
      </c>
      <c r="Q313" s="21"/>
      <c r="R313" s="5"/>
      <c r="S313" s="22" t="str">
        <f>K313+L313</f>
        <v>0</v>
      </c>
      <c r="T313" s="1"/>
      <c r="U313" s="1"/>
      <c r="V313" s="1"/>
      <c r="W313" s="1"/>
      <c r="X313" s="1"/>
      <c r="Y313" s="1"/>
      <c r="Z313" s="1"/>
    </row>
    <row r="314" spans="1:26" customHeight="1" ht="12.75">
      <c r="A314" s="1"/>
      <c r="B314" s="14" t="s">
        <v>356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 t="str">
        <f>K314+L314</f>
        <v>0</v>
      </c>
      <c r="T314" s="1"/>
      <c r="U314" s="18"/>
      <c r="V314" s="18"/>
      <c r="W314" s="18"/>
      <c r="X314" s="18"/>
      <c r="Y314" s="18"/>
      <c r="Z314" s="18"/>
    </row>
    <row r="315" spans="1:26" customHeight="1" ht="12.75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 t="str">
        <f>K315+L315</f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357</v>
      </c>
      <c r="D316" s="15"/>
      <c r="E316" s="16"/>
      <c r="F316" s="16"/>
      <c r="G316" s="16">
        <v>0</v>
      </c>
      <c r="H316" s="16">
        <v>0</v>
      </c>
      <c r="I316" s="16">
        <v>0</v>
      </c>
      <c r="J316" s="16">
        <v>0</v>
      </c>
      <c r="K316" s="16"/>
      <c r="L316" s="16"/>
      <c r="M316" s="16"/>
      <c r="N316" s="16"/>
      <c r="O316" s="16"/>
      <c r="P316" s="16"/>
      <c r="Q316" s="21"/>
      <c r="R316" s="5"/>
      <c r="S316" s="22" t="str">
        <f>K316+L316</f>
        <v>0</v>
      </c>
      <c r="T316" s="1"/>
      <c r="U316" s="18"/>
      <c r="V316" s="18"/>
      <c r="W316" s="18"/>
      <c r="X316" s="18"/>
      <c r="Y316" s="18"/>
      <c r="Z316" s="18"/>
    </row>
    <row r="317" spans="1:26" customHeight="1" ht="12.75">
      <c r="A317" s="1"/>
      <c r="B317" s="19" t="s">
        <v>36</v>
      </c>
      <c r="C317" s="43" t="s">
        <v>358</v>
      </c>
      <c r="D317" s="15" t="s">
        <v>82</v>
      </c>
      <c r="E317" s="16">
        <v>0</v>
      </c>
      <c r="F317" s="16">
        <v>1</v>
      </c>
      <c r="G317" s="17">
        <v>0</v>
      </c>
      <c r="H317" s="17">
        <v>0</v>
      </c>
      <c r="I317" s="17">
        <v>0</v>
      </c>
      <c r="J317" s="17">
        <v>0</v>
      </c>
      <c r="K317" s="17" t="str">
        <f>SUMIFS(G317:J317,$G$14:$J$14,$K$13)</f>
        <v>0</v>
      </c>
      <c r="L317" s="17" t="str">
        <f>SUMIFS(G317:J317,$G$14:$J$14,$L$13)</f>
        <v>0</v>
      </c>
      <c r="M317" s="17"/>
      <c r="N317" s="17"/>
      <c r="O317" s="17"/>
      <c r="P317" s="17" t="str">
        <f>N317+O317</f>
        <v>0</v>
      </c>
      <c r="Q317" s="21"/>
      <c r="R317" s="5"/>
      <c r="S317" s="22" t="str">
        <f>K317+L317</f>
        <v>0</v>
      </c>
      <c r="T317" s="1"/>
      <c r="U317" s="1"/>
      <c r="V317" s="1"/>
      <c r="W317" s="1"/>
      <c r="X317" s="1"/>
      <c r="Y317" s="1"/>
      <c r="Z317" s="1"/>
    </row>
    <row r="318" spans="1:26" customHeight="1" ht="12.75">
      <c r="A318" s="1"/>
      <c r="B318" s="19" t="s">
        <v>67</v>
      </c>
      <c r="C318" s="43" t="s">
        <v>359</v>
      </c>
      <c r="D318" s="15" t="s">
        <v>82</v>
      </c>
      <c r="E318" s="16">
        <v>0</v>
      </c>
      <c r="F318" s="16">
        <v>1</v>
      </c>
      <c r="G318" s="17">
        <v>0</v>
      </c>
      <c r="H318" s="17">
        <v>0</v>
      </c>
      <c r="I318" s="17">
        <v>0</v>
      </c>
      <c r="J318" s="17">
        <v>0</v>
      </c>
      <c r="K318" s="17" t="str">
        <f>SUMIFS(G318:J318,$G$14:$J$14,$K$13)</f>
        <v>0</v>
      </c>
      <c r="L318" s="17" t="str">
        <f>SUMIFS(G318:J318,$G$14:$J$14,$L$13)</f>
        <v>0</v>
      </c>
      <c r="M318" s="17"/>
      <c r="N318" s="17"/>
      <c r="O318" s="17"/>
      <c r="P318" s="17" t="str">
        <f>N318+O318</f>
        <v>0</v>
      </c>
      <c r="Q318" s="21"/>
      <c r="R318" s="5"/>
      <c r="S318" s="22" t="str">
        <f>K318+L318</f>
        <v>0</v>
      </c>
      <c r="T318" s="1"/>
      <c r="U318" s="1"/>
      <c r="V318" s="1"/>
      <c r="W318" s="1"/>
      <c r="X318" s="1"/>
      <c r="Y318" s="1"/>
      <c r="Z318" s="1"/>
    </row>
    <row r="319" spans="1:26" customHeight="1" ht="12.75">
      <c r="A319" s="1"/>
      <c r="B319" s="19" t="s">
        <v>84</v>
      </c>
      <c r="C319" s="43" t="s">
        <v>360</v>
      </c>
      <c r="D319" s="15" t="s">
        <v>82</v>
      </c>
      <c r="E319" s="16">
        <v>0</v>
      </c>
      <c r="F319" s="16">
        <v>1</v>
      </c>
      <c r="G319" s="17">
        <v>0</v>
      </c>
      <c r="H319" s="17">
        <v>0</v>
      </c>
      <c r="I319" s="17">
        <v>0</v>
      </c>
      <c r="J319" s="17">
        <v>0</v>
      </c>
      <c r="K319" s="17" t="str">
        <f>SUMIFS(G319:J319,$G$14:$J$14,$K$13)</f>
        <v>0</v>
      </c>
      <c r="L319" s="17" t="str">
        <f>SUMIFS(G319:J319,$G$14:$J$14,$L$13)</f>
        <v>0</v>
      </c>
      <c r="M319" s="17"/>
      <c r="N319" s="17"/>
      <c r="O319" s="17"/>
      <c r="P319" s="17" t="str">
        <f>N319+O319</f>
        <v>0</v>
      </c>
      <c r="Q319" s="21"/>
      <c r="R319" s="5"/>
      <c r="S319" s="22" t="str">
        <f>K319+L319</f>
        <v>0</v>
      </c>
      <c r="T319" s="1"/>
      <c r="U319" s="1"/>
      <c r="V319" s="1"/>
      <c r="W319" s="1"/>
      <c r="X319" s="1"/>
      <c r="Y319" s="1"/>
      <c r="Z319" s="1"/>
    </row>
    <row r="320" spans="1:26" customHeight="1" ht="12.75">
      <c r="A320" s="1"/>
      <c r="B320" s="14" t="s">
        <v>361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 t="str">
        <f>K320+L320</f>
        <v>0</v>
      </c>
      <c r="T320" s="1"/>
      <c r="U320" s="18"/>
      <c r="V320" s="18"/>
      <c r="W320" s="18"/>
      <c r="X320" s="18"/>
      <c r="Y320" s="18"/>
      <c r="Z320" s="18"/>
    </row>
    <row r="321" spans="1:26" customHeight="1" ht="12.75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 t="str">
        <f>K321+L321</f>
        <v>0</v>
      </c>
      <c r="T321" s="1"/>
      <c r="U321" s="1"/>
      <c r="V321" s="1"/>
      <c r="W321" s="1"/>
      <c r="X321" s="1"/>
      <c r="Y321" s="1"/>
      <c r="Z321" s="1"/>
    </row>
    <row r="322" spans="1:26" customHeight="1" ht="12.75">
      <c r="A322" s="1"/>
      <c r="B322" s="13">
        <v>7</v>
      </c>
      <c r="C322" s="45" t="s">
        <v>362</v>
      </c>
      <c r="D322" s="15"/>
      <c r="E322" s="16"/>
      <c r="F322" s="16"/>
      <c r="G322" s="16">
        <v>0</v>
      </c>
      <c r="H322" s="16">
        <v>0</v>
      </c>
      <c r="I322" s="16">
        <v>0</v>
      </c>
      <c r="J322" s="16">
        <v>0</v>
      </c>
      <c r="K322" s="16"/>
      <c r="L322" s="16"/>
      <c r="M322" s="16"/>
      <c r="N322" s="16"/>
      <c r="O322" s="16"/>
      <c r="P322" s="16"/>
      <c r="Q322" s="21"/>
      <c r="R322" s="5"/>
      <c r="S322" s="22" t="str">
        <f>K322+L322</f>
        <v>0</v>
      </c>
      <c r="T322" s="1"/>
      <c r="U322" s="18"/>
      <c r="V322" s="18"/>
      <c r="W322" s="18"/>
      <c r="X322" s="18"/>
      <c r="Y322" s="18"/>
      <c r="Z322" s="18"/>
    </row>
    <row r="323" spans="1:26" customHeight="1" ht="12.75">
      <c r="A323" s="1"/>
      <c r="B323" s="19" t="s">
        <v>36</v>
      </c>
      <c r="C323" s="43" t="s">
        <v>363</v>
      </c>
      <c r="D323" s="15" t="s">
        <v>364</v>
      </c>
      <c r="E323" s="16">
        <v>0</v>
      </c>
      <c r="F323" s="16">
        <v>1</v>
      </c>
      <c r="G323" s="17">
        <v>0</v>
      </c>
      <c r="H323" s="17">
        <v>0</v>
      </c>
      <c r="I323" s="17">
        <v>0</v>
      </c>
      <c r="J323" s="17">
        <v>0</v>
      </c>
      <c r="K323" s="17" t="str">
        <f>SUMIFS(G323:J323,$G$14:$J$14,$K$13)</f>
        <v>0</v>
      </c>
      <c r="L323" s="17" t="str">
        <f>SUMIFS(G323:J323,$G$14:$J$14,$L$13)</f>
        <v>0</v>
      </c>
      <c r="M323" s="17"/>
      <c r="N323" s="17"/>
      <c r="O323" s="17"/>
      <c r="P323" s="17" t="str">
        <f>N323+O323</f>
        <v>0</v>
      </c>
      <c r="Q323" s="21"/>
      <c r="R323" s="5"/>
      <c r="S323" s="22" t="str">
        <f>K323+L323</f>
        <v>0</v>
      </c>
      <c r="T323" s="1"/>
      <c r="U323" s="1"/>
      <c r="V323" s="1"/>
      <c r="W323" s="1"/>
      <c r="X323" s="1"/>
      <c r="Y323" s="1"/>
      <c r="Z323" s="1"/>
    </row>
    <row r="324" spans="1:26" customHeight="1" ht="12.75">
      <c r="A324" s="1"/>
      <c r="B324" s="19" t="s">
        <v>67</v>
      </c>
      <c r="C324" s="43" t="s">
        <v>365</v>
      </c>
      <c r="D324" s="15" t="s">
        <v>364</v>
      </c>
      <c r="E324" s="16">
        <v>0</v>
      </c>
      <c r="F324" s="16">
        <v>1</v>
      </c>
      <c r="G324" s="17">
        <v>0</v>
      </c>
      <c r="H324" s="17">
        <v>0</v>
      </c>
      <c r="I324" s="17">
        <v>0</v>
      </c>
      <c r="J324" s="17">
        <v>0</v>
      </c>
      <c r="K324" s="17" t="str">
        <f>SUMIFS(G324:J324,$G$14:$J$14,$K$13)</f>
        <v>0</v>
      </c>
      <c r="L324" s="17" t="str">
        <f>SUMIFS(G324:J324,$G$14:$J$14,$L$13)</f>
        <v>0</v>
      </c>
      <c r="M324" s="17"/>
      <c r="N324" s="17"/>
      <c r="O324" s="17"/>
      <c r="P324" s="17" t="str">
        <f>N324+O324</f>
        <v>0</v>
      </c>
      <c r="Q324" s="21"/>
      <c r="R324" s="5"/>
      <c r="S324" s="22" t="str">
        <f>K324+L324</f>
        <v>0</v>
      </c>
      <c r="T324" s="1"/>
      <c r="U324" s="1"/>
      <c r="V324" s="1"/>
      <c r="W324" s="1"/>
      <c r="X324" s="1"/>
      <c r="Y324" s="1"/>
      <c r="Z324" s="1"/>
    </row>
    <row r="325" spans="1:26" customHeight="1" ht="12.75">
      <c r="A325" s="1"/>
      <c r="B325" s="14" t="s">
        <v>366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 t="str">
        <f>K325+L325</f>
        <v>0</v>
      </c>
      <c r="T325" s="1"/>
      <c r="U325" s="18"/>
      <c r="V325" s="18"/>
      <c r="W325" s="18"/>
      <c r="X325" s="18"/>
      <c r="Y325" s="18"/>
      <c r="Z325" s="18"/>
    </row>
    <row r="326" spans="1:26" customHeight="1" ht="12.75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 t="str">
        <f>K326+L326</f>
        <v>0</v>
      </c>
      <c r="T326" s="1"/>
      <c r="U326" s="55"/>
      <c r="V326" s="55"/>
      <c r="W326" s="55"/>
      <c r="X326" s="55"/>
      <c r="Y326" s="55"/>
      <c r="Z326" s="55"/>
    </row>
    <row r="327" spans="1:26" customHeight="1" ht="12.75">
      <c r="A327" s="1"/>
      <c r="B327" s="13">
        <v>8</v>
      </c>
      <c r="C327" s="45" t="s">
        <v>367</v>
      </c>
      <c r="D327" s="15"/>
      <c r="E327" s="16"/>
      <c r="F327" s="16"/>
      <c r="G327" s="16">
        <v>0</v>
      </c>
      <c r="H327" s="16">
        <v>0</v>
      </c>
      <c r="I327" s="16">
        <v>0</v>
      </c>
      <c r="J327" s="16">
        <v>0</v>
      </c>
      <c r="K327" s="16"/>
      <c r="L327" s="16"/>
      <c r="M327" s="16"/>
      <c r="N327" s="16"/>
      <c r="O327" s="16"/>
      <c r="P327" s="16"/>
      <c r="Q327" s="21"/>
      <c r="R327" s="5"/>
      <c r="S327" s="22" t="str">
        <f>K327+L327</f>
        <v>0</v>
      </c>
      <c r="T327" s="1"/>
      <c r="U327" s="18"/>
      <c r="V327" s="18"/>
      <c r="W327" s="18"/>
      <c r="X327" s="18"/>
      <c r="Y327" s="18"/>
      <c r="Z327" s="18"/>
    </row>
    <row r="328" spans="1:26" customHeight="1" ht="12.75">
      <c r="A328" s="1"/>
      <c r="B328" s="56" t="s">
        <v>36</v>
      </c>
      <c r="C328" s="32" t="s">
        <v>368</v>
      </c>
      <c r="D328" s="56" t="s">
        <v>369</v>
      </c>
      <c r="E328" s="16">
        <v>0</v>
      </c>
      <c r="F328" s="16">
        <v>1</v>
      </c>
      <c r="G328" s="17">
        <v>0</v>
      </c>
      <c r="H328" s="17">
        <v>0</v>
      </c>
      <c r="I328" s="17">
        <v>0</v>
      </c>
      <c r="J328" s="17">
        <v>0</v>
      </c>
      <c r="K328" s="17" t="str">
        <f>SUMIFS(G328:J328,$G$14:$J$14,$K$13)</f>
        <v>0</v>
      </c>
      <c r="L328" s="17" t="str">
        <f>SUMIFS(G328:J328,$G$14:$J$14,$L$13)</f>
        <v>0</v>
      </c>
      <c r="M328" s="17"/>
      <c r="N328" s="17"/>
      <c r="O328" s="17"/>
      <c r="P328" s="17" t="str">
        <f>N328+O328</f>
        <v>0</v>
      </c>
      <c r="Q328" s="21"/>
      <c r="R328" s="5"/>
      <c r="S328" s="22" t="str">
        <f>K328+L328</f>
        <v>0</v>
      </c>
      <c r="T328" s="1"/>
      <c r="U328" s="1"/>
      <c r="V328" s="1"/>
      <c r="W328" s="1"/>
      <c r="X328" s="1"/>
      <c r="Y328" s="1"/>
      <c r="Z328" s="1"/>
    </row>
    <row r="329" spans="1:26" customHeight="1" ht="12.75">
      <c r="A329" s="1"/>
      <c r="B329" s="19" t="s">
        <v>67</v>
      </c>
      <c r="C329" s="46" t="s">
        <v>370</v>
      </c>
      <c r="D329" s="19" t="s">
        <v>371</v>
      </c>
      <c r="E329" s="16">
        <v>0</v>
      </c>
      <c r="F329" s="16">
        <v>1</v>
      </c>
      <c r="G329" s="17">
        <v>0</v>
      </c>
      <c r="H329" s="17">
        <v>0</v>
      </c>
      <c r="I329" s="17">
        <v>0</v>
      </c>
      <c r="J329" s="17">
        <v>0</v>
      </c>
      <c r="K329" s="17" t="str">
        <f>SUMIFS(G329:J329,$G$14:$J$14,$K$13)</f>
        <v>0</v>
      </c>
      <c r="L329" s="17" t="str">
        <f>SUMIFS(G329:J329,$G$14:$J$14,$L$13)</f>
        <v>0</v>
      </c>
      <c r="M329" s="17"/>
      <c r="N329" s="17"/>
      <c r="O329" s="17"/>
      <c r="P329" s="17" t="str">
        <f>N329+O329</f>
        <v>0</v>
      </c>
      <c r="Q329" s="21"/>
      <c r="R329" s="5"/>
      <c r="S329" s="22" t="str">
        <f>K329+L329</f>
        <v>0</v>
      </c>
      <c r="T329" s="1"/>
      <c r="U329" s="1"/>
      <c r="V329" s="1"/>
      <c r="W329" s="1"/>
      <c r="X329" s="1"/>
      <c r="Y329" s="1"/>
      <c r="Z329" s="1"/>
    </row>
    <row r="330" spans="1:26" customHeight="1" ht="12.75">
      <c r="A330" s="1"/>
      <c r="B330" s="14" t="s">
        <v>372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 t="str">
        <f>K330+L330</f>
        <v>0</v>
      </c>
      <c r="T330" s="1"/>
      <c r="U330" s="18"/>
      <c r="V330" s="18"/>
      <c r="W330" s="18"/>
      <c r="X330" s="18"/>
      <c r="Y330" s="18"/>
      <c r="Z330" s="18"/>
    </row>
    <row r="331" spans="1:26" customHeight="1" ht="12.75">
      <c r="A331" s="1"/>
      <c r="B331" s="57"/>
      <c r="C331" s="57" t="s">
        <v>373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 t="str">
        <f>SUM(M16:M330)</f>
        <v>0</v>
      </c>
      <c r="N331" s="60" t="str">
        <f>SUM(N16:N330)</f>
        <v>0</v>
      </c>
      <c r="O331" s="60" t="str">
        <f>SUM(O16:O330)</f>
        <v>0</v>
      </c>
      <c r="P331" s="60" t="str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customHeight="1" ht="12.75">
      <c r="A332" s="1"/>
      <c r="B332" s="14"/>
      <c r="C332" s="61" t="s">
        <v>374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 t="str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customHeight="1" ht="12.75">
      <c r="A333" s="1"/>
      <c r="B333" s="14"/>
      <c r="C333" s="61" t="s">
        <v>375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 t="str">
        <f>O331-O332</f>
        <v>0</v>
      </c>
      <c r="P333" s="65" t="str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customHeight="1" ht="12.75">
      <c r="A334" s="1"/>
      <c r="B334" s="26"/>
      <c r="C334" s="61" t="s">
        <v>376</v>
      </c>
      <c r="D334" s="26"/>
      <c r="E334" s="26"/>
      <c r="F334" s="26"/>
      <c r="G334" s="66"/>
      <c r="H334" s="66"/>
      <c r="I334" s="66"/>
      <c r="J334" s="66"/>
      <c r="K334" s="67"/>
      <c r="L334" s="68">
        <v>0.0265</v>
      </c>
      <c r="M334" s="65"/>
      <c r="N334" s="65"/>
      <c r="O334" s="65"/>
      <c r="P334" s="65" t="str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customHeight="1" ht="12.75">
      <c r="A335" s="1"/>
      <c r="B335" s="26"/>
      <c r="C335" s="61" t="s">
        <v>377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 t="str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customHeight="1" ht="12.75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customHeight="1" ht="12.75">
      <c r="A337" s="2"/>
      <c r="B337" s="69"/>
      <c r="C337" s="70" t="s">
        <v>378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customHeight="1" ht="12.75">
      <c r="A338" s="2"/>
      <c r="B338" s="69"/>
      <c r="C338" s="70" t="s">
        <v>379</v>
      </c>
      <c r="D338" s="69"/>
      <c r="E338" s="70" t="s">
        <v>380</v>
      </c>
      <c r="F338" s="74"/>
      <c r="G338" s="1"/>
      <c r="H338" s="1"/>
      <c r="I338" s="1"/>
      <c r="J338" s="70" t="s">
        <v>381</v>
      </c>
      <c r="K338" s="2"/>
      <c r="L338" s="69"/>
      <c r="M338" s="1"/>
      <c r="N338" s="1"/>
      <c r="O338" s="75" t="s">
        <v>382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customHeight="1" ht="12.75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customHeight="1" ht="12.75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customHeight="1" ht="12.75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customHeight="1" ht="12.75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customHeight="1" ht="12.75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customHeight="1" ht="12.75">
      <c r="A344" s="2"/>
      <c r="B344" s="69"/>
      <c r="C344" s="77" t="s">
        <v>383</v>
      </c>
      <c r="D344" s="77"/>
      <c r="E344" s="77" t="s">
        <v>384</v>
      </c>
      <c r="F344" s="77"/>
      <c r="G344" s="3"/>
      <c r="H344" s="77" t="s">
        <v>385</v>
      </c>
      <c r="I344" s="77"/>
      <c r="J344" s="77" t="s">
        <v>384</v>
      </c>
      <c r="K344" s="2"/>
      <c r="L344" s="77" t="s">
        <v>386</v>
      </c>
      <c r="M344" s="1"/>
      <c r="N344" s="77" t="s">
        <v>387</v>
      </c>
      <c r="O344" s="1"/>
      <c r="P344" s="77" t="s">
        <v>388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customHeight="1" ht="12.75">
      <c r="A345" s="2"/>
      <c r="B345" s="69"/>
      <c r="C345" s="78" t="s">
        <v>389</v>
      </c>
      <c r="D345" s="78"/>
      <c r="E345" s="78" t="s">
        <v>390</v>
      </c>
      <c r="F345" s="78"/>
      <c r="G345" s="3"/>
      <c r="H345" s="78" t="s">
        <v>391</v>
      </c>
      <c r="I345" s="78"/>
      <c r="J345" s="78" t="s">
        <v>392</v>
      </c>
      <c r="K345" s="2"/>
      <c r="L345" s="78" t="s">
        <v>393</v>
      </c>
      <c r="M345" s="1"/>
      <c r="N345" s="78" t="s">
        <v>394</v>
      </c>
      <c r="O345" s="1"/>
      <c r="P345" s="78" t="s">
        <v>395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customHeight="1" ht="13.5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customHeight="1" ht="12.75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customHeight="1" ht="12.75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customHeight="1" ht="12.75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customHeight="1" ht="12.75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customHeight="1" ht="12.75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customHeight="1" ht="12.75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customHeight="1" ht="12.75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customHeight="1" ht="12.75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customHeight="1" ht="12.75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customHeight="1" ht="12.75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customHeight="1" ht="12.75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customHeight="1" ht="12.75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customHeight="1" ht="12.75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customHeight="1" ht="12.75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customHeight="1" ht="12.75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customHeight="1" ht="12.75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customHeight="1" ht="12.75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customHeight="1" ht="12.75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customHeight="1" ht="12.75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customHeight="1" ht="12.75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customHeight="1" ht="12.75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customHeight="1" ht="12.75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customHeight="1" ht="12.75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customHeight="1" ht="12.75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customHeight="1" ht="12.75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customHeight="1" ht="12.75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customHeight="1" ht="12.75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customHeight="1" ht="12.75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customHeight="1" ht="12.75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customHeight="1" ht="12.75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customHeight="1" ht="12.75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customHeight="1" ht="12.75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customHeight="1" ht="12.75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customHeight="1" ht="12.75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customHeight="1" ht="12.75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customHeight="1" ht="12.75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customHeight="1" ht="12.75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customHeight="1" ht="12.75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customHeight="1" ht="12.75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customHeight="1" ht="12.75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customHeight="1" ht="12.75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customHeight="1" ht="12.75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customHeight="1" ht="12.75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customHeight="1" ht="12.75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customHeight="1" ht="12.75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customHeight="1" ht="12.75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customHeight="1" ht="12.75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customHeight="1" ht="12.75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customHeight="1" ht="12.75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customHeight="1" ht="12.75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customHeight="1" ht="12.75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customHeight="1" ht="12.75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customHeight="1" ht="12.75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customHeight="1" ht="12.75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customHeight="1" ht="12.75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customHeight="1" ht="12.75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customHeight="1" ht="12.75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customHeight="1" ht="12.75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customHeight="1" ht="12.75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customHeight="1" ht="12.75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customHeight="1" ht="12.75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customHeight="1" ht="12.75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customHeight="1" ht="12.75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customHeight="1" ht="12.75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customHeight="1" ht="12.75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customHeight="1" ht="12.75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customHeight="1" ht="12.75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customHeight="1" ht="12.75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customHeight="1" ht="12.75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customHeight="1" ht="12.75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customHeight="1" ht="12.75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customHeight="1" ht="12.75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customHeight="1" ht="12.75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customHeight="1" ht="12.75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customHeight="1" ht="12.75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customHeight="1" ht="12.75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customHeight="1" ht="12.75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customHeight="1" ht="12.75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customHeight="1" ht="12.75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customHeight="1" ht="12.75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customHeight="1" ht="12.75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customHeight="1" ht="12.75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customHeight="1" ht="12.75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customHeight="1" ht="12.75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customHeight="1" ht="12.75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customHeight="1" ht="12.75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customHeight="1" ht="12.75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customHeight="1" ht="12.75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customHeight="1" ht="12.75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customHeight="1" ht="12.75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customHeight="1" ht="12.75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customHeight="1" ht="12.75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customHeight="1" ht="12.75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customHeight="1" ht="12.75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customHeight="1" ht="12.75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customHeight="1" ht="12.75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customHeight="1" ht="12.75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customHeight="1" ht="12.75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customHeight="1" ht="12.75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customHeight="1" ht="12.75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customHeight="1" ht="12.75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customHeight="1" ht="12.75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customHeight="1" ht="12.75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customHeight="1" ht="12.75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customHeight="1" ht="12.75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customHeight="1" ht="12.75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customHeight="1" ht="12.75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customHeight="1" ht="12.75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customHeight="1" ht="12.75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customHeight="1" ht="12.75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customHeight="1" ht="12.75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customHeight="1" ht="12.75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customHeight="1" ht="12.75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customHeight="1" ht="12.75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customHeight="1" ht="12.75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customHeight="1" ht="12.75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customHeight="1" ht="12.75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customHeight="1" ht="12.75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customHeight="1" ht="12.75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customHeight="1" ht="12.75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customHeight="1" ht="12.75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customHeight="1" ht="12.75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customHeight="1" ht="12.75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customHeight="1" ht="12.75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customHeight="1" ht="12.75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customHeight="1" ht="12.75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customHeight="1" ht="12.75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customHeight="1" ht="12.75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customHeight="1" ht="12.75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customHeight="1" ht="12.75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customHeight="1" ht="12.75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customHeight="1" ht="12.75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customHeight="1" ht="12.75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customHeight="1" ht="12.75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customHeight="1" ht="12.75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customHeight="1" ht="12.75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customHeight="1" ht="12.75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customHeight="1" ht="12.75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customHeight="1" ht="12.75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customHeight="1" ht="12.75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customHeight="1" ht="12.75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customHeight="1" ht="12.75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customHeight="1" ht="12.75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customHeight="1" ht="12.75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customHeight="1" ht="12.75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customHeight="1" ht="12.75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customHeight="1" ht="12.75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customHeight="1" ht="12.75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customHeight="1" ht="12.75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customHeight="1" ht="12.75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customHeight="1" ht="12.75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customHeight="1" ht="12.75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customHeight="1" ht="12.75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customHeight="1" ht="12.75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customHeight="1" ht="12.75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customHeight="1" ht="12.75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customHeight="1" ht="12.75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customHeight="1" ht="12.75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customHeight="1" ht="12.75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customHeight="1" ht="12.75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customHeight="1" ht="12.75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customHeight="1" ht="12.75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customHeight="1" ht="12.75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customHeight="1" ht="12.75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customHeight="1" ht="12.75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customHeight="1" ht="12.75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customHeight="1" ht="12.75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customHeight="1" ht="12.75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customHeight="1" ht="12.75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customHeight="1" ht="12.75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customHeight="1" ht="12.75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customHeight="1" ht="12.75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customHeight="1" ht="12.75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customHeight="1" ht="12.75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customHeight="1" ht="12.75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customHeight="1" ht="12.75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customHeight="1" ht="12.75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customHeight="1" ht="12.75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customHeight="1" ht="12.75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customHeight="1" ht="12.75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customHeight="1" ht="12.75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customHeight="1" ht="12.75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customHeight="1" ht="12.75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customHeight="1" ht="12.75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customHeight="1" ht="12.75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customHeight="1" ht="12.75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customHeight="1" ht="12.75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customHeight="1" ht="12.75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customHeight="1" ht="12.75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customHeight="1" ht="12.75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customHeight="1" ht="12.75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customHeight="1" ht="12.75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customHeight="1" ht="12.75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customHeight="1" ht="12.75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customHeight="1" ht="12.75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customHeight="1" ht="12.75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customHeight="1" ht="12.75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customHeight="1" ht="12.75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customHeight="1" ht="12.75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customHeight="1" ht="12.75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customHeight="1" ht="12.75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customHeight="1" ht="12.75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customHeight="1" ht="12.75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customHeight="1" ht="12.75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customHeight="1" ht="12.75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customHeight="1" ht="12.75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customHeight="1" ht="12.75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customHeight="1" ht="12.75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customHeight="1" ht="12.75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customHeight="1" ht="12.75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customHeight="1" ht="12.75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customHeight="1" ht="12.75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customHeight="1" ht="12.75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customHeight="1" ht="12.75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customHeight="1" ht="12.75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customHeight="1" ht="12.75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customHeight="1" ht="12.75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customHeight="1" ht="12.75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customHeight="1" ht="12.75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customHeight="1" ht="12.75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customHeight="1" ht="12.75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customHeight="1" ht="12.75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customHeight="1" ht="12.75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customHeight="1" ht="12.75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customHeight="1" ht="12.75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customHeight="1" ht="12.75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customHeight="1" ht="12.75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customHeight="1" ht="12.75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customHeight="1" ht="12.75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customHeight="1" ht="12.75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customHeight="1" ht="12.75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customHeight="1" ht="12.75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customHeight="1" ht="12.75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customHeight="1" ht="12.75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customHeight="1" ht="12.75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customHeight="1" ht="12.75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customHeight="1" ht="12.75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customHeight="1" ht="12.75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customHeight="1" ht="12.75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customHeight="1" ht="12.75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customHeight="1" ht="12.75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customHeight="1" ht="12.75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customHeight="1" ht="12.75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customHeight="1" ht="12.75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customHeight="1" ht="12.75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customHeight="1" ht="12.75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customHeight="1" ht="12.75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customHeight="1" ht="12.75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customHeight="1" ht="12.75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customHeight="1" ht="12.75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customHeight="1" ht="12.75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customHeight="1" ht="12.75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customHeight="1" ht="12.75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customHeight="1" ht="12.75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customHeight="1" ht="12.75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customHeight="1" ht="12.75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customHeight="1" ht="12.75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customHeight="1" ht="12.75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customHeight="1" ht="12.75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customHeight="1" ht="12.75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customHeight="1" ht="12.75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customHeight="1" ht="12.75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customHeight="1" ht="12.75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customHeight="1" ht="12.75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customHeight="1" ht="12.75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customHeight="1" ht="12.75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customHeight="1" ht="12.75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customHeight="1" ht="12.75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customHeight="1" ht="12.75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customHeight="1" ht="12.75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customHeight="1" ht="12.75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customHeight="1" ht="12.75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customHeight="1" ht="12.75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customHeight="1" ht="12.75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customHeight="1" ht="12.75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customHeight="1" ht="12.75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customHeight="1" ht="12.75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customHeight="1" ht="12.75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customHeight="1" ht="12.75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customHeight="1" ht="12.75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customHeight="1" ht="12.75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customHeight="1" ht="12.75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customHeight="1" ht="12.75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customHeight="1" ht="12.75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customHeight="1" ht="12.75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customHeight="1" ht="12.75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customHeight="1" ht="12.75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customHeight="1" ht="12.75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customHeight="1" ht="12.75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customHeight="1" ht="12.75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customHeight="1" ht="12.75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customHeight="1" ht="12.75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customHeight="1" ht="12.75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customHeight="1" ht="12.75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customHeight="1" ht="12.75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customHeight="1" ht="12.75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customHeight="1" ht="12.75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customHeight="1" ht="12.75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customHeight="1" ht="12.75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customHeight="1" ht="12.75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customHeight="1" ht="12.75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customHeight="1" ht="12.75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customHeight="1" ht="12.75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customHeight="1" ht="12.75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customHeight="1" ht="12.75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customHeight="1" ht="12.75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customHeight="1" ht="12.75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customHeight="1" ht="12.75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customHeight="1" ht="12.75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customHeight="1" ht="12.75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customHeight="1" ht="12.75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customHeight="1" ht="12.75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customHeight="1" ht="12.75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customHeight="1" ht="12.75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customHeight="1" ht="12.75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customHeight="1" ht="12.75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customHeight="1" ht="12.75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customHeight="1" ht="12.75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customHeight="1" ht="12.75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customHeight="1" ht="12.75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customHeight="1" ht="12.75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customHeight="1" ht="12.75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customHeight="1" ht="12.75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customHeight="1" ht="12.75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customHeight="1" ht="12.75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customHeight="1" ht="12.75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customHeight="1" ht="12.75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customHeight="1" ht="12.75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customHeight="1" ht="12.75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customHeight="1" ht="12.75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customHeight="1" ht="12.75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customHeight="1" ht="12.75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customHeight="1" ht="12.75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customHeight="1" ht="12.75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customHeight="1" ht="12.75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customHeight="1" ht="12.75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customHeight="1" ht="12.75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customHeight="1" ht="12.75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customHeight="1" ht="12.75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customHeight="1" ht="12.75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customHeight="1" ht="12.75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customHeight="1" ht="12.75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customHeight="1" ht="12.75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customHeight="1" ht="12.75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customHeight="1" ht="12.75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customHeight="1" ht="12.75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customHeight="1" ht="12.75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customHeight="1" ht="12.75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customHeight="1" ht="12.75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customHeight="1" ht="12.75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customHeight="1" ht="12.75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customHeight="1" ht="12.75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customHeight="1" ht="12.75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customHeight="1" ht="12.75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customHeight="1" ht="12.75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customHeight="1" ht="12.75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customHeight="1" ht="12.75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customHeight="1" ht="12.75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customHeight="1" ht="12.75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customHeight="1" ht="12.75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customHeight="1" ht="12.75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customHeight="1" ht="12.75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customHeight="1" ht="12.75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customHeight="1" ht="12.75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customHeight="1" ht="12.75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customHeight="1" ht="12.75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customHeight="1" ht="12.75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customHeight="1" ht="12.75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customHeight="1" ht="12.75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customHeight="1" ht="12.75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customHeight="1" ht="12.75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customHeight="1" ht="12.75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customHeight="1" ht="12.75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customHeight="1" ht="12.75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customHeight="1" ht="12.75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customHeight="1" ht="12.75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customHeight="1" ht="12.75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customHeight="1" ht="12.75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customHeight="1" ht="12.75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customHeight="1" ht="12.75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customHeight="1" ht="12.75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customHeight="1" ht="12.75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customHeight="1" ht="12.75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customHeight="1" ht="12.75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customHeight="1" ht="12.75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customHeight="1" ht="12.75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customHeight="1" ht="12.75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customHeight="1" ht="12.75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customHeight="1" ht="12.75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customHeight="1" ht="12.75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customHeight="1" ht="12.75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customHeight="1" ht="12.75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customHeight="1" ht="12.75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customHeight="1" ht="12.75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customHeight="1" ht="12.75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customHeight="1" ht="12.75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customHeight="1" ht="12.75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customHeight="1" ht="12.75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customHeight="1" ht="12.75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customHeight="1" ht="12.75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customHeight="1" ht="12.75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customHeight="1" ht="12.75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customHeight="1" ht="12.75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customHeight="1" ht="12.75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customHeight="1" ht="12.75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customHeight="1" ht="12.75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customHeight="1" ht="12.75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customHeight="1" ht="12.75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customHeight="1" ht="12.75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customHeight="1" ht="12.75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customHeight="1" ht="12.75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customHeight="1" ht="12.75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customHeight="1" ht="12.75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customHeight="1" ht="12.75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customHeight="1" ht="12.75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customHeight="1" ht="12.75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customHeight="1" ht="12.75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customHeight="1" ht="12.75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customHeight="1" ht="12.75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customHeight="1" ht="12.75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customHeight="1" ht="12.75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customHeight="1" ht="12.75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customHeight="1" ht="12.75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customHeight="1" ht="12.75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customHeight="1" ht="12.75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customHeight="1" ht="12.75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customHeight="1" ht="12.75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customHeight="1" ht="12.75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customHeight="1" ht="12.75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customHeight="1" ht="12.75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customHeight="1" ht="12.75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customHeight="1" ht="12.75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customHeight="1" ht="12.75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customHeight="1" ht="12.75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customHeight="1" ht="12.75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customHeight="1" ht="12.75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customHeight="1" ht="12.75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customHeight="1" ht="12.75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customHeight="1" ht="12.75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customHeight="1" ht="12.75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customHeight="1" ht="12.75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customHeight="1" ht="12.75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customHeight="1" ht="12.75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customHeight="1" ht="12.75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customHeight="1" ht="12.75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customHeight="1" ht="12.75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customHeight="1" ht="12.75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customHeight="1" ht="12.75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customHeight="1" ht="12.75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customHeight="1" ht="12.75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customHeight="1" ht="12.75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customHeight="1" ht="12.75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customHeight="1" ht="12.75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customHeight="1" ht="12.75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customHeight="1" ht="12.75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customHeight="1" ht="12.75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customHeight="1" ht="12.75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customHeight="1" ht="12.75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customHeight="1" ht="12.75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customHeight="1" ht="12.75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customHeight="1" ht="12.75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customHeight="1" ht="12.75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customHeight="1" ht="12.75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customHeight="1" ht="12.75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customHeight="1" ht="12.75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customHeight="1" ht="12.75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customHeight="1" ht="12.75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customHeight="1" ht="12.75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customHeight="1" ht="12.75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customHeight="1" ht="12.75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customHeight="1" ht="12.75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customHeight="1" ht="12.75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customHeight="1" ht="12.75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customHeight="1" ht="12.75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customHeight="1" ht="12.75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customHeight="1" ht="12.75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customHeight="1" ht="12.75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customHeight="1" ht="12.75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customHeight="1" ht="12.75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customHeight="1" ht="12.75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customHeight="1" ht="12.75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customHeight="1" ht="12.75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customHeight="1" ht="12.75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customHeight="1" ht="12.75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customHeight="1" ht="12.75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customHeight="1" ht="12.75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customHeight="1" ht="12.75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customHeight="1" ht="12.75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customHeight="1" ht="12.75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customHeight="1" ht="12.75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customHeight="1" ht="12.75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customHeight="1" ht="12.75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customHeight="1" ht="12.75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customHeight="1" ht="12.75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customHeight="1" ht="12.75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customHeight="1" ht="12.75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customHeight="1" ht="12.75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customHeight="1" ht="12.75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customHeight="1" ht="12.75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customHeight="1" ht="12.75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customHeight="1" ht="12.75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customHeight="1" ht="12.75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customHeight="1" ht="12.75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customHeight="1" ht="12.75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customHeight="1" ht="12.75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customHeight="1" ht="12.75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customHeight="1" ht="12.75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customHeight="1" ht="12.75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customHeight="1" ht="12.75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customHeight="1" ht="12.75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customHeight="1" ht="12.75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customHeight="1" ht="12.75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customHeight="1" ht="12.75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customHeight="1" ht="12.75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customHeight="1" ht="12.75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customHeight="1" ht="12.75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customHeight="1" ht="12.75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customHeight="1" ht="12.75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customHeight="1" ht="12.75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customHeight="1" ht="12.75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customHeight="1" ht="12.75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customHeight="1" ht="12.75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customHeight="1" ht="12.75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customHeight="1" ht="12.75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customHeight="1" ht="12.75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customHeight="1" ht="12.75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customHeight="1" ht="12.75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customHeight="1" ht="12.75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customHeight="1" ht="12.75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customHeight="1" ht="12.75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customHeight="1" ht="12.75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customHeight="1" ht="12.75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customHeight="1" ht="12.75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customHeight="1" ht="12.75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customHeight="1" ht="12.75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customHeight="1" ht="12.75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customHeight="1" ht="12.75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customHeight="1" ht="12.75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customHeight="1" ht="12.75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customHeight="1" ht="12.75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customHeight="1" ht="12.75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customHeight="1" ht="12.75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customHeight="1" ht="12.75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customHeight="1" ht="12.75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customHeight="1" ht="12.75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customHeight="1" ht="12.75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customHeight="1" ht="12.75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customHeight="1" ht="12.75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customHeight="1" ht="12.75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customHeight="1" ht="12.75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customHeight="1" ht="12.75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customHeight="1" ht="12.75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customHeight="1" ht="12.75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customHeight="1" ht="12.75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customHeight="1" ht="12.75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customHeight="1" ht="12.75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customHeight="1" ht="12.75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customHeight="1" ht="12.75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customHeight="1" ht="12.75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customHeight="1" ht="12.75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customHeight="1" ht="12.75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customHeight="1" ht="12.75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customHeight="1" ht="12.75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customHeight="1" ht="12.75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customHeight="1" ht="12.75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customHeight="1" ht="12.75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customHeight="1" ht="12.75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customHeight="1" ht="12.75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customHeight="1" ht="12.75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customHeight="1" ht="12.75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customHeight="1" ht="12.75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customHeight="1" ht="12.75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customHeight="1" ht="12.75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customHeight="1" ht="12.75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customHeight="1" ht="12.75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customHeight="1" ht="12.75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customHeight="1" ht="12.75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customHeight="1" ht="12.75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customHeight="1" ht="12.75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customHeight="1" ht="12.75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customHeight="1" ht="12.75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customHeight="1" ht="12.75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customHeight="1" ht="12.75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customHeight="1" ht="12.75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customHeight="1" ht="12.75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customHeight="1" ht="12.75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customHeight="1" ht="12.75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customHeight="1" ht="12.75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customHeight="1" ht="12.75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customHeight="1" ht="12.75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customHeight="1" ht="12.75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customHeight="1" ht="12.75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customHeight="1" ht="12.75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customHeight="1" ht="12.75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customHeight="1" ht="12.75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customHeight="1" ht="12.75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customHeight="1" ht="12.75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customHeight="1" ht="12.75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customHeight="1" ht="12.75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customHeight="1" ht="12.75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customHeight="1" ht="12.75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customHeight="1" ht="12.75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customHeight="1" ht="12.75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customHeight="1" ht="12.75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customHeight="1" ht="12.75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customHeight="1" ht="12.75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customHeight="1" ht="12.75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customHeight="1" ht="12.75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customHeight="1" ht="12.75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customHeight="1" ht="12.75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customHeight="1" ht="12.75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customHeight="1" ht="12.75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customHeight="1" ht="12.75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customHeight="1" ht="12.75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customHeight="1" ht="12.75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customHeight="1" ht="12.75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customHeight="1" ht="12.75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customHeight="1" ht="12.75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customHeight="1" ht="12.75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customHeight="1" ht="12.75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customHeight="1" ht="12.75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customHeight="1" ht="12.75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customHeight="1" ht="12.75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customHeight="1" ht="12.75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customHeight="1" ht="12.75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customHeight="1" ht="12.75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customHeight="1" ht="12.75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customHeight="1" ht="12.75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customHeight="1" ht="12.75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customHeight="1" ht="12.75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customHeight="1" ht="12.75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customHeight="1" ht="12.75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customHeight="1" ht="12.75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customHeight="1" ht="12.75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customHeight="1" ht="12.75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customHeight="1" ht="12.75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customHeight="1" ht="12.75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customHeight="1" ht="12.75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customHeight="1" ht="12.75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customHeight="1" ht="12.75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customHeight="1" ht="12.75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customHeight="1" ht="12.75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customHeight="1" ht="12.75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customHeight="1" ht="12.75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customHeight="1" ht="12.75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customHeight="1" ht="12.75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customHeight="1" ht="12.75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customHeight="1" ht="12.75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customHeight="1" ht="12.75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customHeight="1" ht="12.75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customHeight="1" ht="12.75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customHeight="1" ht="12.75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customHeight="1" ht="12.75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customHeight="1" ht="12.75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5:S335"/>
  <mergeCells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rintOptions gridLines="false" gridLinesSet="true"/>
  <pageMargins left="0.7" right="0.7" top="0.75" bottom="0.75" header="0" footer="0"/>
  <pageSetup paperSize="9" orientation="landscape" scale="3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2025-01-09T09:59:20+07:00</dcterms:created>
  <dcterms:modified xsi:type="dcterms:W3CDTF">2026-05-16T11:21:51+07:00</dcterms:modified>
  <dc:title/>
  <dc:description/>
  <dc:subject/>
  <cp:keywords/>
  <cp:category/>
</cp:coreProperties>
</file>