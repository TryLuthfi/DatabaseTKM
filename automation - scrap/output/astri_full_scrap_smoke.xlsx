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DatabaseTKM\automation - scrap\output\"/>
    </mc:Choice>
  </mc:AlternateContent>
  <xr:revisionPtr revIDLastSave="0" documentId="8_{6DEB73F7-3899-4EA4-987C-97CB57FC3DDB}" xr6:coauthVersionLast="47" xr6:coauthVersionMax="47" xr10:uidLastSave="{00000000-0000-0000-0000-000000000000}"/>
  <bookViews>
    <workbookView xWindow="-120" yWindow="-120" windowWidth="29040" windowHeight="15720" xr2:uid="{E462F581-4E0E-42E8-8E8B-1D02FC7116C8}"/>
  </bookViews>
  <sheets>
    <sheet name="Document_Detail" sheetId="3" r:id="rId1"/>
    <sheet name="Cluster_Stat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<sst xmlns="http://schemas.openxmlformats.org/spreadsheetml/2006/main" count="605" uniqueCount="144">
  <si>
    <t>scraped_at</t>
  </si>
  <si>
    <t>cluster_code</t>
  </si>
  <si>
    <t>clean_list_name</t>
  </si>
  <si>
    <t>work_order_number</t>
  </si>
  <si>
    <t>vendor_label</t>
  </si>
  <si>
    <t>area</t>
  </si>
  <si>
    <t>status_rfs</t>
  </si>
  <si>
    <t>document_cw_atp_status</t>
  </si>
  <si>
    <t>document_full_opm_status</t>
  </si>
  <si>
    <t>document_rfs_status</t>
  </si>
  <si>
    <t>document_fac_status</t>
  </si>
  <si>
    <t>worst_document_status</t>
  </si>
  <si>
    <t>summary_source_url</t>
  </si>
  <si>
    <t>TRG000038</t>
  </si>
  <si>
    <t>LOA IPUH RT 71 SAMPAI 75 KUTAI KARTANEGARA</t>
  </si>
  <si>
    <t>WO/KUTAI KARTANEGARA/2026/INST/10/8313</t>
  </si>
  <si>
    <t>Technology Karya Mandiri</t>
  </si>
  <si>
    <t>KUTAI KARTANEGARA</t>
  </si>
  <si>
    <t>-</t>
  </si>
  <si>
    <t>UNKNOWN</t>
  </si>
  <si>
    <t>https://astri.morarepublic.co.id/rfs-document/list/by-invoice-phase/cw-atp?cluster_code=TRG000038&amp;work_order_number=WO%2FKUTAI%20KARTANEGARA%2F2026%2FINST%2F10%2F8313&amp;vendor_label=Technology%20Karya%20Mandiri</t>
  </si>
  <si>
    <t>route</t>
  </si>
  <si>
    <t>scope</t>
  </si>
  <si>
    <t>phase</t>
  </si>
  <si>
    <t>route_summary_status</t>
  </si>
  <si>
    <t>astri_type</t>
  </si>
  <si>
    <t>astri_label</t>
  </si>
  <si>
    <t>derived_status</t>
  </si>
  <si>
    <t>file_count</t>
  </si>
  <si>
    <t>upload_date</t>
  </si>
  <si>
    <t>verified_by</t>
  </si>
  <si>
    <t>verified_at</t>
  </si>
  <si>
    <t>revision_by</t>
  </si>
  <si>
    <t>revision_at</t>
  </si>
  <si>
    <t>revision_remark</t>
  </si>
  <si>
    <t>filename</t>
  </si>
  <si>
    <t>detail_url</t>
  </si>
  <si>
    <t>ATP CLUSTER - CW ATP</t>
  </si>
  <si>
    <t>CLUSTER</t>
  </si>
  <si>
    <t>CW ATP</t>
  </si>
  <si>
    <t>as_plan_drawing_dwg</t>
  </si>
  <si>
    <t>APD DWG Cluster</t>
  </si>
  <si>
    <t>APPROVED</t>
  </si>
  <si>
    <t>moch.putro</t>
  </si>
  <si>
    <t>as_plan_drawing_dwg_TRG000038_20260806123512_TRG000038  APD DWG LOA IPUH RT 71 SAMPAI 75 KUTAI KARTANEGARA.dwg</t>
  </si>
  <si>
    <t>as_plan_drawing_kmz</t>
  </si>
  <si>
    <t>APD KMZ Cluster</t>
  </si>
  <si>
    <t>as_plan_drawing_kmz_TRG000038_20260806125200_TRG000038  APD KMZ LOA IPUH RT 71 SAMPAI 75 KUTAI KARTANEGARA.kmz</t>
  </si>
  <si>
    <t>as_plan_drawing_subfeeder_kmz</t>
  </si>
  <si>
    <t>APD Subfeeder kmz</t>
  </si>
  <si>
    <t>ON REVIEW</t>
  </si>
  <si>
    <t>as_plan_drawing_subfeeder_kmz_TRG000038_20260806123810_TRG000038  APD KMZ SUBFEEDER LOA IPUH RT 71 SAMPAI 75 KUTAI KARTANEGARA.kmz</t>
  </si>
  <si>
    <t>permit_subfeeder</t>
  </si>
  <si>
    <t>BA Permit Subfeeder</t>
  </si>
  <si>
    <t>NOT UPLOADED</t>
  </si>
  <si>
    <t>permit_cluster_aggreement</t>
  </si>
  <si>
    <t>Berita Acara Kesepakatan</t>
  </si>
  <si>
    <t>permit_open</t>
  </si>
  <si>
    <t>Berita Acara Open</t>
  </si>
  <si>
    <t>permit_open_TRG000038_20260723213322_BA OPEN LOA IPUH RT 71 SAMPAI 75 KUTAI KARTANEGARA.pdf</t>
  </si>
  <si>
    <t>donation_approval</t>
  </si>
  <si>
    <t>Cluster Approval Proposal</t>
  </si>
  <si>
    <t>civil_work_acceptance_test</t>
  </si>
  <si>
    <t>subfeeder_civil_work_acceptance_test</t>
  </si>
  <si>
    <t>CW ATP Subfeeder</t>
  </si>
  <si>
    <t>cluster_survey_form</t>
  </si>
  <si>
    <t>Form Cluster Survey</t>
  </si>
  <si>
    <t>permit_vip_form</t>
  </si>
  <si>
    <t>Form Free Layanan</t>
  </si>
  <si>
    <t>homepass_database</t>
  </si>
  <si>
    <t>Homepass Database</t>
  </si>
  <si>
    <t>homepass_database_TRG000038_20260806123511_TRG000038  APD HPDB LOA IPUH RT 71 SAMPAI 75 KUTAI KARTANEGARA.xlsx</t>
  </si>
  <si>
    <t>rough_design_layout</t>
  </si>
  <si>
    <t>Layout SnD Kasar</t>
  </si>
  <si>
    <t>rough_design_layout_TRG000038_20260723213323_LOA IPUH RT 71 SAMPAI 75 KUTAI KARTANEGARA.pdf</t>
  </si>
  <si>
    <t>sales_validation_layout</t>
  </si>
  <si>
    <t>Layout Validasi Sales</t>
  </si>
  <si>
    <t>ptsp</t>
  </si>
  <si>
    <t>PTSP</t>
  </si>
  <si>
    <t>redline</t>
  </si>
  <si>
    <t>Redline</t>
  </si>
  <si>
    <t>subfeeder_redline</t>
  </si>
  <si>
    <t>Redline Subfeeder</t>
  </si>
  <si>
    <t>rekomtek</t>
  </si>
  <si>
    <t>Rekomtek</t>
  </si>
  <si>
    <t>tssr</t>
  </si>
  <si>
    <t>TSSR</t>
  </si>
  <si>
    <t>tssr_TRG000038_20260806123513_TSSR LOA IPUH RT 71 SAMPAI 75 KUTAI KARTANEGARA.pdf</t>
  </si>
  <si>
    <t>ATP CLUSTER - FULL OPM</t>
  </si>
  <si>
    <t>FULL OPM</t>
  </si>
  <si>
    <t>opm_otdr_acceptance_test</t>
  </si>
  <si>
    <t>OPM / OTDR ATP</t>
  </si>
  <si>
    <t>https://astri.morarepublic.co.id/rfs-document/list/by-invoice-phase/full-opm?cluster_code=TRG000038&amp;work_order_number=WO%2FKUTAI%20KARTANEGARA%2F2026%2FINST%2F10%2F8313&amp;vendor_label=Technology%20Karya%20Mandiri</t>
  </si>
  <si>
    <t>ATP CLUSTER - RFS</t>
  </si>
  <si>
    <t>RFS</t>
  </si>
  <si>
    <t>build_of_quantity_as_built_drawing</t>
  </si>
  <si>
    <t>ABD BoQ Cluster</t>
  </si>
  <si>
    <t>https://astri.morarepublic.co.id/rfs-document/list/by-invoice-phase/rfs?cluster_code=TRG000038&amp;work_order_number=WO%2FKUTAI%20KARTANEGARA%2F2026%2FINST%2F10%2F8313&amp;vendor_label=Technology%20Karya%20Mandiri</t>
  </si>
  <si>
    <t>as_built_drawing_dwg</t>
  </si>
  <si>
    <t>ABD Cluster DWG</t>
  </si>
  <si>
    <t>as_built_drawing_kmz</t>
  </si>
  <si>
    <t>ABD Cluster KMZ</t>
  </si>
  <si>
    <t>build_of_quantity_as_plan_drawing</t>
  </si>
  <si>
    <t>BoQ APD</t>
  </si>
  <si>
    <t>build_of_quantity_as_plan_drawing_TRG000038_20260806123513_TRG000035  APD BOQ LOA IPUH RT 71 SAMPAI 75 KUTAI KARTANEGARA.xlsx</t>
  </si>
  <si>
    <t>core_management</t>
  </si>
  <si>
    <t>Core Management</t>
  </si>
  <si>
    <t>core_management_TRG000038_20260819171423_TRG000038  PRE ABD HPDB LOA IPUH RT 71 SAMPAI 75 KUTAI KARTANEGARA.xlsx</t>
  </si>
  <si>
    <t>justifikasi_berita_acara_opname</t>
  </si>
  <si>
    <t>Justifikasi Berita Acara Opname</t>
  </si>
  <si>
    <t>project_opname</t>
  </si>
  <si>
    <t>Project Opname</t>
  </si>
  <si>
    <t>subfeeder_project_opname</t>
  </si>
  <si>
    <t>Project Opname Subfeeder</t>
  </si>
  <si>
    <t>PROJECT OPNAME - CLUSTER</t>
  </si>
  <si>
    <t>PROJECT OPNAME</t>
  </si>
  <si>
    <t>https://astri.morarepublic.co.id/material/cluster/project-opname/review?cluster_code=TRG000038&amp;work_order_number=WO/ALL/2026/DOCU/16/80219&amp;vendor_label=Technology%20Karya%20Mandiri</t>
  </si>
  <si>
    <t>build_of_quantity_project_opname</t>
  </si>
  <si>
    <t>BOQ Project Opname</t>
  </si>
  <si>
    <t>ATP SUBFEEDER - CW ATP</t>
  </si>
  <si>
    <t>SUBFEEDER</t>
  </si>
  <si>
    <t>as_plan_drawing_core_management_subfeeder</t>
  </si>
  <si>
    <t>APD Core Management Subfeeder</t>
  </si>
  <si>
    <t>https://astri.morarepublic.co.id/rfs-document/subfeeder/list/by-invoice-phase/cw-atp?cluster_code=TRG000038&amp;work_order_number=WO%2FKUTAI%20KARTANEGARA%2F2026%2FINST%2F10%2F8313&amp;vendor_label=Technology%20Karya%20Mandiri</t>
  </si>
  <si>
    <t>as_plan_drawing_subfeeder_dwg</t>
  </si>
  <si>
    <t>APD Subfeeder dwg</t>
  </si>
  <si>
    <t>as_plan_drawing_subfeeder_dwg_TRG000038_20260806123810_TRG000035  APD DWG SUBFEEDER LOA IPUH RT 71 SAMPAI 75 KUTAI KARTANEGARA.dwg</t>
  </si>
  <si>
    <t>ATP SUBFEEDER - FULL OPM</t>
  </si>
  <si>
    <t>subfeeder_opm_otdr_acceptance_test</t>
  </si>
  <si>
    <t>OPM / OTDR Subfeeder</t>
  </si>
  <si>
    <t>https://astri.morarepublic.co.id/rfs-document/subfeeder/list/by-invoice-phase/full-opm?cluster_code=TRG000038&amp;work_order_number=WO%2FKUTAI%20KARTANEGARA%2F2026%2FINST%2F10%2F8313&amp;vendor_label=Technology%20Karya%20Mandiri</t>
  </si>
  <si>
    <t>ATP SUBFEEDER - RFS</t>
  </si>
  <si>
    <t>as_built_drawing_core_management_subfeeder</t>
  </si>
  <si>
    <t>ABD Core Management Subfeeder</t>
  </si>
  <si>
    <t>https://astri.morarepublic.co.id/rfs-document/subfeeder/list/by-invoice-phase/rfs?cluster_code=TRG000038&amp;work_order_number=WO%2FKUTAI%20KARTANEGARA%2F2026%2FINST%2F10%2F8313&amp;vendor_label=Technology%20Karya%20Mandiri</t>
  </si>
  <si>
    <t>as_build_drawing_subfeeder_dwg</t>
  </si>
  <si>
    <t>ABD Subfeeder dwg</t>
  </si>
  <si>
    <t>as_built_drawing_subfeeder_kmz</t>
  </si>
  <si>
    <t>ABD Subfeeder kmz</t>
  </si>
  <si>
    <t>build_of_quantity_subfeeder_as_built_drawing</t>
  </si>
  <si>
    <t>BoQ Subfeeder ABD</t>
  </si>
  <si>
    <t>build_of_quantity_subfeeder_as_plan_drawing</t>
  </si>
  <si>
    <t>BoQ Subfeeder APD</t>
  </si>
  <si>
    <t>build_of_quantity_subfeeder_as_plan_drawing_TRG000038_20260806123811_TRG000035  APD BOQ SUBFEEDER LOA IPUH RT 71 SAMPAI 75 KUTAI KARTANEGARA.xlsx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</si>
</sst>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4">
    <dxf>
      <font>
        <color rgb="FF000000"/>
      </font>
      <fill>
        <patternFill>
          <bgColor rgb="FFFFCCCC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F4B084"/>
        </patternFill>
      </fill>
    </dxf>
    <dxf>
      <font>
        <color rgb="FF000000"/>
      </font>
      <fill>
        <patternFill>
          <bgColor rgb="FFFFF2CC"/>
        </patternFill>
      </fill>
    </dxf>
    <dxf>
      <font>
        <color rgb="FF000000"/>
      </font>
      <fill>
        <patternFill>
          <bgColor rgb="FFCCFFCC"/>
        </patternFill>
      </fill>
    </dxf>
    <dxf>
      <font>
        <color rgb="FF000000"/>
      </font>
      <fill>
        <patternFill>
          <bgColor rgb="FFFFCCCC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F4B084"/>
        </patternFill>
      </fill>
    </dxf>
    <dxf>
      <font>
        <color rgb="FF000000"/>
      </font>
      <fill>
        <patternFill>
          <bgColor rgb="FFFFF2CC"/>
        </patternFill>
      </fill>
    </dxf>
    <dxf>
      <font>
        <color rgb="FF000000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2AF4-BC08-455F-A5DC-736C80EA68A5}">
  <sheetPr>
    <tabColor rgb="FF92D050"/>
  </sheetPr>
  <dimension ref="A1:T51"/>
  <sheetViews>
    <sheetView tabSelected="1" workbookViewId="0"/>
  </sheetViews>
  <sheetFormatPr defaultRowHeight="15" x14ac:dyDescent="0.25"/>
  <cols>
    <col min="1" max="1" width="13.5703125" bestFit="1" customWidth="1"/>
    <col min="2" max="2" width="12.5703125" bestFit="1" customWidth="1"/>
    <col min="3" max="3" width="43.42578125" bestFit="1" customWidth="1"/>
    <col min="4" max="4" width="41" bestFit="1" customWidth="1"/>
    <col min="5" max="5" width="26.28515625" bestFit="1" customWidth="1"/>
    <col min="6" max="6" width="10.85546875" bestFit="1" customWidth="1"/>
    <col min="7" max="7" width="16.85546875" bestFit="1" customWidth="1"/>
    <col min="8" max="8" width="21.85546875" bestFit="1" customWidth="1"/>
    <col min="9" max="9" width="43.85546875" bestFit="1" customWidth="1"/>
    <col min="10" max="10" width="30.7109375" bestFit="1" customWidth="1"/>
    <col min="11" max="11" width="14.85546875" bestFit="1" customWidth="1"/>
    <col min="12" max="12" width="10" bestFit="1" customWidth="1"/>
    <col min="13" max="13" width="13.5703125" bestFit="1" customWidth="1"/>
    <col min="14" max="14" width="11.28515625" bestFit="1" customWidth="1"/>
    <col min="15" max="15" width="10.5703125" bestFit="1" customWidth="1"/>
    <col min="16" max="16" width="11.28515625" bestFit="1" customWidth="1"/>
    <col min="17" max="17" width="10.85546875" bestFit="1" customWidth="1"/>
    <col min="18" max="18" width="15.5703125" bestFit="1" customWidth="1"/>
    <col min="19" max="19" width="146.42578125" bestFit="1" customWidth="1"/>
    <col min="20" max="20" width="227.42578125" bestFit="1" customWidth="1"/>
  </cols>
  <sheetData>
    <row r="1" spans="1:2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</row>
    <row r="2" spans="1:20" x14ac:dyDescent="0.25">
      <c r="A2" s="1">
        <v>46253.729537037034</v>
      </c>
      <c r="B2" t="s">
        <v>13</v>
      </c>
      <c r="C2" t="s">
        <v>14</v>
      </c>
      <c r="D2" t="s">
        <v>15</v>
      </c>
      <c r="E2" t="s">
        <v>37</v>
      </c>
      <c r="F2" t="s">
        <v>38</v>
      </c>
      <c r="G2" t="s">
        <v>39</v>
      </c>
      <c r="H2" t="s">
        <v>18</v>
      </c>
      <c r="I2" t="s">
        <v>40</v>
      </c>
      <c r="J2" t="s">
        <v>41</v>
      </c>
      <c r="K2" t="s">
        <v>42</v>
      </c>
      <c r="L2">
        <v>1</v>
      </c>
      <c r="M2" s="1">
        <v>46240.524444444447</v>
      </c>
      <c r="N2" t="s">
        <v>43</v>
      </c>
      <c r="S2" t="s">
        <v>44</v>
      </c>
      <c r="T2" t="s">
        <v>20</v>
      </c>
    </row>
    <row r="3" spans="1:20" x14ac:dyDescent="0.25">
      <c r="A3" s="1">
        <v>46253.729537037034</v>
      </c>
      <c r="B3" t="s">
        <v>13</v>
      </c>
      <c r="C3" t="s">
        <v>14</v>
      </c>
      <c r="D3" t="s">
        <v>15</v>
      </c>
      <c r="E3" t="s">
        <v>37</v>
      </c>
      <c r="F3" t="s">
        <v>38</v>
      </c>
      <c r="G3" t="s">
        <v>39</v>
      </c>
      <c r="H3" t="s">
        <v>18</v>
      </c>
      <c r="I3" t="s">
        <v>45</v>
      </c>
      <c r="J3" t="s">
        <v>46</v>
      </c>
      <c r="K3" t="s">
        <v>42</v>
      </c>
      <c r="L3">
        <v>2</v>
      </c>
      <c r="M3" s="1">
        <v>46240.536111111112</v>
      </c>
      <c r="N3" t="s">
        <v>43</v>
      </c>
      <c r="S3" t="s">
        <v>47</v>
      </c>
      <c r="T3" t="s">
        <v>20</v>
      </c>
    </row>
    <row r="4" spans="1:20" x14ac:dyDescent="0.25">
      <c r="A4" s="1">
        <v>46253.729537037034</v>
      </c>
      <c r="B4" t="s">
        <v>13</v>
      </c>
      <c r="C4" t="s">
        <v>14</v>
      </c>
      <c r="D4" t="s">
        <v>15</v>
      </c>
      <c r="E4" t="s">
        <v>37</v>
      </c>
      <c r="F4" t="s">
        <v>38</v>
      </c>
      <c r="G4" t="s">
        <v>39</v>
      </c>
      <c r="H4" t="s">
        <v>18</v>
      </c>
      <c r="I4" t="s">
        <v>48</v>
      </c>
      <c r="J4" t="s">
        <v>49</v>
      </c>
      <c r="K4" t="s">
        <v>50</v>
      </c>
      <c r="L4">
        <v>2</v>
      </c>
      <c r="M4" s="1">
        <v>46240.526504629626</v>
      </c>
      <c r="S4" t="s">
        <v>51</v>
      </c>
      <c r="T4" t="s">
        <v>20</v>
      </c>
    </row>
    <row r="5" spans="1:20" x14ac:dyDescent="0.25">
      <c r="A5" s="1">
        <v>46253.729537037034</v>
      </c>
      <c r="B5" t="s">
        <v>13</v>
      </c>
      <c r="C5" t="s">
        <v>14</v>
      </c>
      <c r="D5" t="s">
        <v>15</v>
      </c>
      <c r="E5" t="s">
        <v>37</v>
      </c>
      <c r="F5" t="s">
        <v>38</v>
      </c>
      <c r="G5" t="s">
        <v>39</v>
      </c>
      <c r="H5" t="s">
        <v>18</v>
      </c>
      <c r="I5" t="s">
        <v>52</v>
      </c>
      <c r="J5" t="s">
        <v>53</v>
      </c>
      <c r="K5" t="s">
        <v>54</v>
      </c>
      <c r="L5">
        <v>0</v>
      </c>
      <c r="T5" t="s">
        <v>20</v>
      </c>
    </row>
    <row r="6" spans="1:20" x14ac:dyDescent="0.25">
      <c r="A6" s="1">
        <v>46253.729537037034</v>
      </c>
      <c r="B6" t="s">
        <v>13</v>
      </c>
      <c r="C6" t="s">
        <v>14</v>
      </c>
      <c r="D6" t="s">
        <v>15</v>
      </c>
      <c r="E6" t="s">
        <v>37</v>
      </c>
      <c r="F6" t="s">
        <v>38</v>
      </c>
      <c r="G6" t="s">
        <v>39</v>
      </c>
      <c r="H6" t="s">
        <v>18</v>
      </c>
      <c r="I6" t="s">
        <v>55</v>
      </c>
      <c r="J6" t="s">
        <v>56</v>
      </c>
      <c r="K6" t="s">
        <v>54</v>
      </c>
      <c r="L6">
        <v>0</v>
      </c>
      <c r="T6" t="s">
        <v>20</v>
      </c>
    </row>
    <row r="7" spans="1:20" x14ac:dyDescent="0.25">
      <c r="A7" s="1">
        <v>46253.729537037034</v>
      </c>
      <c r="B7" t="s">
        <v>13</v>
      </c>
      <c r="C7" t="s">
        <v>14</v>
      </c>
      <c r="D7" t="s">
        <v>15</v>
      </c>
      <c r="E7" t="s">
        <v>37</v>
      </c>
      <c r="F7" t="s">
        <v>38</v>
      </c>
      <c r="G7" t="s">
        <v>39</v>
      </c>
      <c r="H7" t="s">
        <v>18</v>
      </c>
      <c r="I7" t="s">
        <v>57</v>
      </c>
      <c r="J7" t="s">
        <v>58</v>
      </c>
      <c r="K7" t="s">
        <v>50</v>
      </c>
      <c r="L7">
        <v>1</v>
      </c>
      <c r="M7" s="1">
        <v>46226.8981712963</v>
      </c>
      <c r="S7" t="s">
        <v>59</v>
      </c>
      <c r="T7" t="s">
        <v>20</v>
      </c>
    </row>
    <row r="8" spans="1:20" x14ac:dyDescent="0.25">
      <c r="A8" s="1">
        <v>46253.729537037034</v>
      </c>
      <c r="B8" t="s">
        <v>13</v>
      </c>
      <c r="C8" t="s">
        <v>14</v>
      </c>
      <c r="D8" t="s">
        <v>15</v>
      </c>
      <c r="E8" t="s">
        <v>37</v>
      </c>
      <c r="F8" t="s">
        <v>38</v>
      </c>
      <c r="G8" t="s">
        <v>39</v>
      </c>
      <c r="H8" t="s">
        <v>18</v>
      </c>
      <c r="I8" t="s">
        <v>60</v>
      </c>
      <c r="J8" t="s">
        <v>61</v>
      </c>
      <c r="K8" t="s">
        <v>54</v>
      </c>
      <c r="L8">
        <v>0</v>
      </c>
      <c r="T8" t="s">
        <v>20</v>
      </c>
    </row>
    <row r="9" spans="1:20" x14ac:dyDescent="0.25">
      <c r="A9" s="1">
        <v>46253.729537037034</v>
      </c>
      <c r="B9" t="s">
        <v>13</v>
      </c>
      <c r="C9" t="s">
        <v>14</v>
      </c>
      <c r="D9" t="s">
        <v>15</v>
      </c>
      <c r="E9" t="s">
        <v>37</v>
      </c>
      <c r="F9" t="s">
        <v>38</v>
      </c>
      <c r="G9" t="s">
        <v>39</v>
      </c>
      <c r="H9" t="s">
        <v>18</v>
      </c>
      <c r="I9" t="s">
        <v>62</v>
      </c>
      <c r="J9" t="s">
        <v>39</v>
      </c>
      <c r="K9" t="s">
        <v>54</v>
      </c>
      <c r="L9">
        <v>0</v>
      </c>
      <c r="T9" t="s">
        <v>20</v>
      </c>
    </row>
    <row r="10" spans="1:20" x14ac:dyDescent="0.25">
      <c r="A10" s="1">
        <v>46253.729537037034</v>
      </c>
      <c r="B10" t="s">
        <v>13</v>
      </c>
      <c r="C10" t="s">
        <v>14</v>
      </c>
      <c r="D10" t="s">
        <v>15</v>
      </c>
      <c r="E10" t="s">
        <v>37</v>
      </c>
      <c r="F10" t="s">
        <v>38</v>
      </c>
      <c r="G10" t="s">
        <v>39</v>
      </c>
      <c r="H10" t="s">
        <v>18</v>
      </c>
      <c r="I10" t="s">
        <v>63</v>
      </c>
      <c r="J10" t="s">
        <v>64</v>
      </c>
      <c r="K10" t="s">
        <v>54</v>
      </c>
      <c r="L10">
        <v>0</v>
      </c>
      <c r="T10" t="s">
        <v>20</v>
      </c>
    </row>
    <row r="11" spans="1:20" x14ac:dyDescent="0.25">
      <c r="A11" s="1">
        <v>46253.729537037034</v>
      </c>
      <c r="B11" t="s">
        <v>13</v>
      </c>
      <c r="C11" t="s">
        <v>14</v>
      </c>
      <c r="D11" t="s">
        <v>15</v>
      </c>
      <c r="E11" t="s">
        <v>37</v>
      </c>
      <c r="F11" t="s">
        <v>38</v>
      </c>
      <c r="G11" t="s">
        <v>39</v>
      </c>
      <c r="H11" t="s">
        <v>18</v>
      </c>
      <c r="I11" t="s">
        <v>65</v>
      </c>
      <c r="J11" t="s">
        <v>66</v>
      </c>
      <c r="K11" t="s">
        <v>54</v>
      </c>
      <c r="L11">
        <v>0</v>
      </c>
      <c r="T11" t="s">
        <v>20</v>
      </c>
    </row>
    <row r="12" spans="1:20" x14ac:dyDescent="0.25">
      <c r="A12" s="1">
        <v>46253.729537037034</v>
      </c>
      <c r="B12" t="s">
        <v>13</v>
      </c>
      <c r="C12" t="s">
        <v>14</v>
      </c>
      <c r="D12" t="s">
        <v>15</v>
      </c>
      <c r="E12" t="s">
        <v>37</v>
      </c>
      <c r="F12" t="s">
        <v>38</v>
      </c>
      <c r="G12" t="s">
        <v>39</v>
      </c>
      <c r="H12" t="s">
        <v>18</v>
      </c>
      <c r="I12" t="s">
        <v>67</v>
      </c>
      <c r="J12" t="s">
        <v>68</v>
      </c>
      <c r="K12" t="s">
        <v>54</v>
      </c>
      <c r="L12">
        <v>0</v>
      </c>
      <c r="T12" t="s">
        <v>20</v>
      </c>
    </row>
    <row r="13" spans="1:20" x14ac:dyDescent="0.25">
      <c r="A13" s="1">
        <v>46253.729537037034</v>
      </c>
      <c r="B13" t="s">
        <v>13</v>
      </c>
      <c r="C13" t="s">
        <v>14</v>
      </c>
      <c r="D13" t="s">
        <v>15</v>
      </c>
      <c r="E13" t="s">
        <v>37</v>
      </c>
      <c r="F13" t="s">
        <v>38</v>
      </c>
      <c r="G13" t="s">
        <v>39</v>
      </c>
      <c r="H13" t="s">
        <v>18</v>
      </c>
      <c r="I13" t="s">
        <v>69</v>
      </c>
      <c r="J13" t="s">
        <v>70</v>
      </c>
      <c r="K13" t="s">
        <v>42</v>
      </c>
      <c r="L13">
        <v>1</v>
      </c>
      <c r="M13" s="1">
        <v>46240.52443287037</v>
      </c>
      <c r="N13" t="s">
        <v>43</v>
      </c>
      <c r="S13" t="s">
        <v>71</v>
      </c>
      <c r="T13" t="s">
        <v>20</v>
      </c>
    </row>
    <row r="14" spans="1:20" x14ac:dyDescent="0.25">
      <c r="A14" s="1">
        <v>46253.729537037034</v>
      </c>
      <c r="B14" t="s">
        <v>13</v>
      </c>
      <c r="C14" t="s">
        <v>14</v>
      </c>
      <c r="D14" t="s">
        <v>15</v>
      </c>
      <c r="E14" t="s">
        <v>37</v>
      </c>
      <c r="F14" t="s">
        <v>38</v>
      </c>
      <c r="G14" t="s">
        <v>39</v>
      </c>
      <c r="H14" t="s">
        <v>18</v>
      </c>
      <c r="I14" t="s">
        <v>72</v>
      </c>
      <c r="J14" t="s">
        <v>73</v>
      </c>
      <c r="K14" t="s">
        <v>50</v>
      </c>
      <c r="L14">
        <v>1</v>
      </c>
      <c r="M14" s="1">
        <v>46226.898182870369</v>
      </c>
      <c r="S14" t="s">
        <v>74</v>
      </c>
      <c r="T14" t="s">
        <v>20</v>
      </c>
    </row>
    <row r="15" spans="1:20" x14ac:dyDescent="0.25">
      <c r="A15" s="1">
        <v>46253.729537037034</v>
      </c>
      <c r="B15" t="s">
        <v>13</v>
      </c>
      <c r="C15" t="s">
        <v>14</v>
      </c>
      <c r="D15" t="s">
        <v>15</v>
      </c>
      <c r="E15" t="s">
        <v>37</v>
      </c>
      <c r="F15" t="s">
        <v>38</v>
      </c>
      <c r="G15" t="s">
        <v>39</v>
      </c>
      <c r="H15" t="s">
        <v>18</v>
      </c>
      <c r="I15" t="s">
        <v>75</v>
      </c>
      <c r="J15" t="s">
        <v>76</v>
      </c>
      <c r="K15" t="s">
        <v>54</v>
      </c>
      <c r="L15">
        <v>0</v>
      </c>
      <c r="T15" t="s">
        <v>20</v>
      </c>
    </row>
    <row r="16" spans="1:20" x14ac:dyDescent="0.25">
      <c r="A16" s="1">
        <v>46253.729537037034</v>
      </c>
      <c r="B16" t="s">
        <v>13</v>
      </c>
      <c r="C16" t="s">
        <v>14</v>
      </c>
      <c r="D16" t="s">
        <v>15</v>
      </c>
      <c r="E16" t="s">
        <v>37</v>
      </c>
      <c r="F16" t="s">
        <v>38</v>
      </c>
      <c r="G16" t="s">
        <v>39</v>
      </c>
      <c r="H16" t="s">
        <v>18</v>
      </c>
      <c r="I16" t="s">
        <v>77</v>
      </c>
      <c r="J16" t="s">
        <v>78</v>
      </c>
      <c r="K16" t="s">
        <v>54</v>
      </c>
      <c r="L16">
        <v>0</v>
      </c>
      <c r="T16" t="s">
        <v>20</v>
      </c>
    </row>
    <row r="17" spans="1:20" x14ac:dyDescent="0.25">
      <c r="A17" s="1">
        <v>46253.729537037034</v>
      </c>
      <c r="B17" t="s">
        <v>13</v>
      </c>
      <c r="C17" t="s">
        <v>14</v>
      </c>
      <c r="D17" t="s">
        <v>15</v>
      </c>
      <c r="E17" t="s">
        <v>37</v>
      </c>
      <c r="F17" t="s">
        <v>38</v>
      </c>
      <c r="G17" t="s">
        <v>39</v>
      </c>
      <c r="H17" t="s">
        <v>18</v>
      </c>
      <c r="I17" t="s">
        <v>79</v>
      </c>
      <c r="J17" t="s">
        <v>80</v>
      </c>
      <c r="K17" t="s">
        <v>54</v>
      </c>
      <c r="L17">
        <v>0</v>
      </c>
      <c r="T17" t="s">
        <v>20</v>
      </c>
    </row>
    <row r="18" spans="1:20" x14ac:dyDescent="0.25">
      <c r="A18" s="1">
        <v>46253.729537037034</v>
      </c>
      <c r="B18" t="s">
        <v>13</v>
      </c>
      <c r="C18" t="s">
        <v>14</v>
      </c>
      <c r="D18" t="s">
        <v>15</v>
      </c>
      <c r="E18" t="s">
        <v>37</v>
      </c>
      <c r="F18" t="s">
        <v>38</v>
      </c>
      <c r="G18" t="s">
        <v>39</v>
      </c>
      <c r="H18" t="s">
        <v>18</v>
      </c>
      <c r="I18" t="s">
        <v>81</v>
      </c>
      <c r="J18" t="s">
        <v>82</v>
      </c>
      <c r="K18" t="s">
        <v>54</v>
      </c>
      <c r="L18">
        <v>0</v>
      </c>
      <c r="T18" t="s">
        <v>20</v>
      </c>
    </row>
    <row r="19" spans="1:20" x14ac:dyDescent="0.25">
      <c r="A19" s="1">
        <v>46253.729537037034</v>
      </c>
      <c r="B19" t="s">
        <v>13</v>
      </c>
      <c r="C19" t="s">
        <v>14</v>
      </c>
      <c r="D19" t="s">
        <v>15</v>
      </c>
      <c r="E19" t="s">
        <v>37</v>
      </c>
      <c r="F19" t="s">
        <v>38</v>
      </c>
      <c r="G19" t="s">
        <v>39</v>
      </c>
      <c r="H19" t="s">
        <v>18</v>
      </c>
      <c r="I19" t="s">
        <v>83</v>
      </c>
      <c r="J19" t="s">
        <v>84</v>
      </c>
      <c r="K19" t="s">
        <v>54</v>
      </c>
      <c r="L19">
        <v>0</v>
      </c>
      <c r="T19" t="s">
        <v>20</v>
      </c>
    </row>
    <row r="20" spans="1:20" x14ac:dyDescent="0.25">
      <c r="A20" s="1">
        <v>46253.729537037034</v>
      </c>
      <c r="B20" t="s">
        <v>13</v>
      </c>
      <c r="C20" t="s">
        <v>14</v>
      </c>
      <c r="D20" t="s">
        <v>15</v>
      </c>
      <c r="E20" t="s">
        <v>37</v>
      </c>
      <c r="F20" t="s">
        <v>38</v>
      </c>
      <c r="G20" t="s">
        <v>39</v>
      </c>
      <c r="H20" t="s">
        <v>18</v>
      </c>
      <c r="I20" t="s">
        <v>85</v>
      </c>
      <c r="J20" t="s">
        <v>86</v>
      </c>
      <c r="K20" t="s">
        <v>42</v>
      </c>
      <c r="L20">
        <v>1</v>
      </c>
      <c r="M20" s="1">
        <v>46240.524456018517</v>
      </c>
      <c r="N20" t="s">
        <v>43</v>
      </c>
      <c r="S20" t="s">
        <v>87</v>
      </c>
      <c r="T20" t="s">
        <v>20</v>
      </c>
    </row>
    <row r="21" spans="1:20" x14ac:dyDescent="0.25">
      <c r="A21" s="1">
        <v>46253.729618055557</v>
      </c>
      <c r="B21" t="s">
        <v>13</v>
      </c>
      <c r="C21" t="s">
        <v>14</v>
      </c>
      <c r="D21" t="s">
        <v>15</v>
      </c>
      <c r="E21" t="s">
        <v>88</v>
      </c>
      <c r="F21" t="s">
        <v>38</v>
      </c>
      <c r="G21" t="s">
        <v>89</v>
      </c>
      <c r="H21" t="s">
        <v>18</v>
      </c>
      <c r="I21" t="s">
        <v>90</v>
      </c>
      <c r="J21" t="s">
        <v>91</v>
      </c>
      <c r="K21" t="s">
        <v>54</v>
      </c>
      <c r="L21">
        <v>0</v>
      </c>
      <c r="T21" t="s">
        <v>92</v>
      </c>
    </row>
    <row r="22" spans="1:20" x14ac:dyDescent="0.25">
      <c r="A22" s="1">
        <v>46253.729722222219</v>
      </c>
      <c r="B22" t="s">
        <v>13</v>
      </c>
      <c r="C22" t="s">
        <v>14</v>
      </c>
      <c r="D22" t="s">
        <v>15</v>
      </c>
      <c r="E22" t="s">
        <v>93</v>
      </c>
      <c r="F22" t="s">
        <v>38</v>
      </c>
      <c r="G22" t="s">
        <v>94</v>
      </c>
      <c r="H22" t="s">
        <v>18</v>
      </c>
      <c r="I22" t="s">
        <v>95</v>
      </c>
      <c r="J22" t="s">
        <v>96</v>
      </c>
      <c r="K22" t="s">
        <v>54</v>
      </c>
      <c r="L22">
        <v>0</v>
      </c>
      <c r="T22" t="s">
        <v>97</v>
      </c>
    </row>
    <row r="23" spans="1:20" x14ac:dyDescent="0.25">
      <c r="A23" s="1">
        <v>46253.729722222219</v>
      </c>
      <c r="B23" t="s">
        <v>13</v>
      </c>
      <c r="C23" t="s">
        <v>14</v>
      </c>
      <c r="D23" t="s">
        <v>15</v>
      </c>
      <c r="E23" t="s">
        <v>93</v>
      </c>
      <c r="F23" t="s">
        <v>38</v>
      </c>
      <c r="G23" t="s">
        <v>94</v>
      </c>
      <c r="H23" t="s">
        <v>18</v>
      </c>
      <c r="I23" t="s">
        <v>98</v>
      </c>
      <c r="J23" t="s">
        <v>99</v>
      </c>
      <c r="K23" t="s">
        <v>54</v>
      </c>
      <c r="L23">
        <v>0</v>
      </c>
      <c r="T23" t="s">
        <v>97</v>
      </c>
    </row>
    <row r="24" spans="1:20" x14ac:dyDescent="0.25">
      <c r="A24" s="1">
        <v>46253.729722222219</v>
      </c>
      <c r="B24" t="s">
        <v>13</v>
      </c>
      <c r="C24" t="s">
        <v>14</v>
      </c>
      <c r="D24" t="s">
        <v>15</v>
      </c>
      <c r="E24" t="s">
        <v>93</v>
      </c>
      <c r="F24" t="s">
        <v>38</v>
      </c>
      <c r="G24" t="s">
        <v>94</v>
      </c>
      <c r="H24" t="s">
        <v>18</v>
      </c>
      <c r="I24" t="s">
        <v>100</v>
      </c>
      <c r="J24" t="s">
        <v>101</v>
      </c>
      <c r="K24" t="s">
        <v>54</v>
      </c>
      <c r="L24">
        <v>0</v>
      </c>
      <c r="T24" t="s">
        <v>97</v>
      </c>
    </row>
    <row r="25" spans="1:20" x14ac:dyDescent="0.25">
      <c r="A25" s="1">
        <v>46253.729722222219</v>
      </c>
      <c r="B25" t="s">
        <v>13</v>
      </c>
      <c r="C25" t="s">
        <v>14</v>
      </c>
      <c r="D25" t="s">
        <v>15</v>
      </c>
      <c r="E25" t="s">
        <v>93</v>
      </c>
      <c r="F25" t="s">
        <v>38</v>
      </c>
      <c r="G25" t="s">
        <v>94</v>
      </c>
      <c r="H25" t="s">
        <v>18</v>
      </c>
      <c r="I25" t="s">
        <v>102</v>
      </c>
      <c r="J25" t="s">
        <v>103</v>
      </c>
      <c r="K25" t="s">
        <v>42</v>
      </c>
      <c r="L25">
        <v>1</v>
      </c>
      <c r="M25" s="1">
        <v>46240.524456018517</v>
      </c>
      <c r="N25" t="s">
        <v>43</v>
      </c>
      <c r="S25" t="s">
        <v>104</v>
      </c>
      <c r="T25" t="s">
        <v>97</v>
      </c>
    </row>
    <row r="26" spans="1:20" x14ac:dyDescent="0.25">
      <c r="A26" s="1">
        <v>46253.729722222219</v>
      </c>
      <c r="B26" t="s">
        <v>13</v>
      </c>
      <c r="C26" t="s">
        <v>14</v>
      </c>
      <c r="D26" t="s">
        <v>15</v>
      </c>
      <c r="E26" t="s">
        <v>93</v>
      </c>
      <c r="F26" t="s">
        <v>38</v>
      </c>
      <c r="G26" t="s">
        <v>94</v>
      </c>
      <c r="H26" t="s">
        <v>18</v>
      </c>
      <c r="I26" t="s">
        <v>105</v>
      </c>
      <c r="J26" t="s">
        <v>106</v>
      </c>
      <c r="K26" t="s">
        <v>50</v>
      </c>
      <c r="L26">
        <v>1</v>
      </c>
      <c r="M26" s="1">
        <v>46253.718321759261</v>
      </c>
      <c r="S26" t="s">
        <v>107</v>
      </c>
      <c r="T26" t="s">
        <v>97</v>
      </c>
    </row>
    <row r="27" spans="1:20" x14ac:dyDescent="0.25">
      <c r="A27" s="1">
        <v>46253.729722222219</v>
      </c>
      <c r="B27" t="s">
        <v>13</v>
      </c>
      <c r="C27" t="s">
        <v>14</v>
      </c>
      <c r="D27" t="s">
        <v>15</v>
      </c>
      <c r="E27" t="s">
        <v>93</v>
      </c>
      <c r="F27" t="s">
        <v>38</v>
      </c>
      <c r="G27" t="s">
        <v>94</v>
      </c>
      <c r="H27" t="s">
        <v>18</v>
      </c>
      <c r="I27" t="s">
        <v>108</v>
      </c>
      <c r="J27" t="s">
        <v>109</v>
      </c>
      <c r="K27" t="s">
        <v>54</v>
      </c>
      <c r="L27">
        <v>0</v>
      </c>
      <c r="T27" t="s">
        <v>97</v>
      </c>
    </row>
    <row r="28" spans="1:20" x14ac:dyDescent="0.25">
      <c r="A28" s="1">
        <v>46253.729722222219</v>
      </c>
      <c r="B28" t="s">
        <v>13</v>
      </c>
      <c r="C28" t="s">
        <v>14</v>
      </c>
      <c r="D28" t="s">
        <v>15</v>
      </c>
      <c r="E28" t="s">
        <v>93</v>
      </c>
      <c r="F28" t="s">
        <v>38</v>
      </c>
      <c r="G28" t="s">
        <v>94</v>
      </c>
      <c r="H28" t="s">
        <v>18</v>
      </c>
      <c r="I28" t="s">
        <v>110</v>
      </c>
      <c r="J28" t="s">
        <v>111</v>
      </c>
      <c r="K28" t="s">
        <v>54</v>
      </c>
      <c r="L28">
        <v>0</v>
      </c>
      <c r="T28" t="s">
        <v>97</v>
      </c>
    </row>
    <row r="29" spans="1:20" x14ac:dyDescent="0.25">
      <c r="A29" s="1">
        <v>46253.729722222219</v>
      </c>
      <c r="B29" t="s">
        <v>13</v>
      </c>
      <c r="C29" t="s">
        <v>14</v>
      </c>
      <c r="D29" t="s">
        <v>15</v>
      </c>
      <c r="E29" t="s">
        <v>93</v>
      </c>
      <c r="F29" t="s">
        <v>38</v>
      </c>
      <c r="G29" t="s">
        <v>94</v>
      </c>
      <c r="H29" t="s">
        <v>18</v>
      </c>
      <c r="I29" t="s">
        <v>112</v>
      </c>
      <c r="J29" t="s">
        <v>113</v>
      </c>
      <c r="K29" t="s">
        <v>54</v>
      </c>
      <c r="L29">
        <v>0</v>
      </c>
      <c r="T29" t="s">
        <v>97</v>
      </c>
    </row>
    <row r="30" spans="1:20" x14ac:dyDescent="0.25">
      <c r="A30" s="1">
        <v>46253.730081018519</v>
      </c>
      <c r="B30" t="s">
        <v>13</v>
      </c>
      <c r="C30" t="s">
        <v>14</v>
      </c>
      <c r="D30" t="s">
        <v>15</v>
      </c>
      <c r="E30" t="s">
        <v>114</v>
      </c>
      <c r="F30" t="s">
        <v>38</v>
      </c>
      <c r="G30" t="s">
        <v>115</v>
      </c>
      <c r="I30" t="s">
        <v>95</v>
      </c>
      <c r="J30" t="s">
        <v>96</v>
      </c>
      <c r="K30" t="s">
        <v>54</v>
      </c>
      <c r="L30">
        <v>0</v>
      </c>
      <c r="T30" t="s">
        <v>116</v>
      </c>
    </row>
    <row r="31" spans="1:20" x14ac:dyDescent="0.25">
      <c r="A31" s="1">
        <v>46253.730081018519</v>
      </c>
      <c r="B31" t="s">
        <v>13</v>
      </c>
      <c r="C31" t="s">
        <v>14</v>
      </c>
      <c r="D31" t="s">
        <v>15</v>
      </c>
      <c r="E31" t="s">
        <v>114</v>
      </c>
      <c r="F31" t="s">
        <v>38</v>
      </c>
      <c r="G31" t="s">
        <v>115</v>
      </c>
      <c r="I31" t="s">
        <v>98</v>
      </c>
      <c r="J31" t="s">
        <v>99</v>
      </c>
      <c r="K31" t="s">
        <v>54</v>
      </c>
      <c r="L31">
        <v>0</v>
      </c>
      <c r="T31" t="s">
        <v>116</v>
      </c>
    </row>
    <row r="32" spans="1:20" x14ac:dyDescent="0.25">
      <c r="A32" s="1">
        <v>46253.730081018519</v>
      </c>
      <c r="B32" t="s">
        <v>13</v>
      </c>
      <c r="C32" t="s">
        <v>14</v>
      </c>
      <c r="D32" t="s">
        <v>15</v>
      </c>
      <c r="E32" t="s">
        <v>114</v>
      </c>
      <c r="F32" t="s">
        <v>38</v>
      </c>
      <c r="G32" t="s">
        <v>115</v>
      </c>
      <c r="I32" t="s">
        <v>100</v>
      </c>
      <c r="J32" t="s">
        <v>101</v>
      </c>
      <c r="K32" t="s">
        <v>54</v>
      </c>
      <c r="L32">
        <v>0</v>
      </c>
      <c r="T32" t="s">
        <v>116</v>
      </c>
    </row>
    <row r="33" spans="1:20" x14ac:dyDescent="0.25">
      <c r="A33" s="1">
        <v>46253.730081018519</v>
      </c>
      <c r="B33" t="s">
        <v>13</v>
      </c>
      <c r="C33" t="s">
        <v>14</v>
      </c>
      <c r="D33" t="s">
        <v>15</v>
      </c>
      <c r="E33" t="s">
        <v>114</v>
      </c>
      <c r="F33" t="s">
        <v>38</v>
      </c>
      <c r="G33" t="s">
        <v>115</v>
      </c>
      <c r="I33" t="s">
        <v>102</v>
      </c>
      <c r="J33" t="s">
        <v>103</v>
      </c>
      <c r="K33" t="s">
        <v>42</v>
      </c>
      <c r="L33">
        <v>1</v>
      </c>
      <c r="M33" s="1">
        <v>46240.524456018517</v>
      </c>
      <c r="N33" t="s">
        <v>43</v>
      </c>
      <c r="S33" t="s">
        <v>104</v>
      </c>
      <c r="T33" t="s">
        <v>116</v>
      </c>
    </row>
    <row r="34" spans="1:20" x14ac:dyDescent="0.25">
      <c r="A34" s="1">
        <v>46253.730081018519</v>
      </c>
      <c r="B34" t="s">
        <v>13</v>
      </c>
      <c r="C34" t="s">
        <v>14</v>
      </c>
      <c r="D34" t="s">
        <v>15</v>
      </c>
      <c r="E34" t="s">
        <v>114</v>
      </c>
      <c r="F34" t="s">
        <v>38</v>
      </c>
      <c r="G34" t="s">
        <v>115</v>
      </c>
      <c r="I34" t="s">
        <v>117</v>
      </c>
      <c r="J34" t="s">
        <v>118</v>
      </c>
      <c r="K34" t="s">
        <v>54</v>
      </c>
      <c r="L34">
        <v>0</v>
      </c>
      <c r="T34" t="s">
        <v>116</v>
      </c>
    </row>
    <row r="35" spans="1:20" x14ac:dyDescent="0.25">
      <c r="A35" s="1">
        <v>46253.730081018519</v>
      </c>
      <c r="B35" t="s">
        <v>13</v>
      </c>
      <c r="C35" t="s">
        <v>14</v>
      </c>
      <c r="D35" t="s">
        <v>15</v>
      </c>
      <c r="E35" t="s">
        <v>114</v>
      </c>
      <c r="F35" t="s">
        <v>38</v>
      </c>
      <c r="G35" t="s">
        <v>115</v>
      </c>
      <c r="I35" t="s">
        <v>108</v>
      </c>
      <c r="J35" t="s">
        <v>109</v>
      </c>
      <c r="K35" t="s">
        <v>54</v>
      </c>
      <c r="L35">
        <v>0</v>
      </c>
      <c r="T35" t="s">
        <v>116</v>
      </c>
    </row>
    <row r="36" spans="1:20" x14ac:dyDescent="0.25">
      <c r="A36" s="1">
        <v>46253.730081018519</v>
      </c>
      <c r="B36" t="s">
        <v>13</v>
      </c>
      <c r="C36" t="s">
        <v>14</v>
      </c>
      <c r="D36" t="s">
        <v>15</v>
      </c>
      <c r="E36" t="s">
        <v>114</v>
      </c>
      <c r="F36" t="s">
        <v>38</v>
      </c>
      <c r="G36" t="s">
        <v>115</v>
      </c>
      <c r="I36" t="s">
        <v>90</v>
      </c>
      <c r="J36" t="s">
        <v>91</v>
      </c>
      <c r="K36" t="s">
        <v>54</v>
      </c>
      <c r="L36">
        <v>0</v>
      </c>
      <c r="T36" t="s">
        <v>116</v>
      </c>
    </row>
    <row r="37" spans="1:20" x14ac:dyDescent="0.25">
      <c r="A37" s="1">
        <v>46253.730081018519</v>
      </c>
      <c r="B37" t="s">
        <v>13</v>
      </c>
      <c r="C37" t="s">
        <v>14</v>
      </c>
      <c r="D37" t="s">
        <v>15</v>
      </c>
      <c r="E37" t="s">
        <v>114</v>
      </c>
      <c r="F37" t="s">
        <v>38</v>
      </c>
      <c r="G37" t="s">
        <v>115</v>
      </c>
      <c r="I37" t="s">
        <v>110</v>
      </c>
      <c r="J37" t="s">
        <v>111</v>
      </c>
      <c r="K37" t="s">
        <v>54</v>
      </c>
      <c r="L37">
        <v>0</v>
      </c>
      <c r="T37" t="s">
        <v>116</v>
      </c>
    </row>
    <row r="38" spans="1:20" x14ac:dyDescent="0.25">
      <c r="A38" s="1">
        <v>46253.730162037034</v>
      </c>
      <c r="B38" t="s">
        <v>13</v>
      </c>
      <c r="C38" t="s">
        <v>14</v>
      </c>
      <c r="D38" t="s">
        <v>15</v>
      </c>
      <c r="E38" t="s">
        <v>119</v>
      </c>
      <c r="F38" t="s">
        <v>120</v>
      </c>
      <c r="G38" t="s">
        <v>39</v>
      </c>
      <c r="H38" t="s">
        <v>18</v>
      </c>
      <c r="I38" t="s">
        <v>121</v>
      </c>
      <c r="J38" t="s">
        <v>122</v>
      </c>
      <c r="K38" t="s">
        <v>54</v>
      </c>
      <c r="L38">
        <v>0</v>
      </c>
      <c r="T38" t="s">
        <v>123</v>
      </c>
    </row>
    <row r="39" spans="1:20" x14ac:dyDescent="0.25">
      <c r="A39" s="1">
        <v>46253.730162037034</v>
      </c>
      <c r="B39" t="s">
        <v>13</v>
      </c>
      <c r="C39" t="s">
        <v>14</v>
      </c>
      <c r="D39" t="s">
        <v>15</v>
      </c>
      <c r="E39" t="s">
        <v>119</v>
      </c>
      <c r="F39" t="s">
        <v>120</v>
      </c>
      <c r="G39" t="s">
        <v>39</v>
      </c>
      <c r="H39" t="s">
        <v>18</v>
      </c>
      <c r="I39" t="s">
        <v>124</v>
      </c>
      <c r="J39" t="s">
        <v>125</v>
      </c>
      <c r="K39" t="s">
        <v>50</v>
      </c>
      <c r="L39">
        <v>1</v>
      </c>
      <c r="M39" s="1">
        <v>46240.526504629626</v>
      </c>
      <c r="S39" t="s">
        <v>126</v>
      </c>
      <c r="T39" t="s">
        <v>123</v>
      </c>
    </row>
    <row r="40" spans="1:20" x14ac:dyDescent="0.25">
      <c r="A40" s="1">
        <v>46253.730162037034</v>
      </c>
      <c r="B40" t="s">
        <v>13</v>
      </c>
      <c r="C40" t="s">
        <v>14</v>
      </c>
      <c r="D40" t="s">
        <v>15</v>
      </c>
      <c r="E40" t="s">
        <v>119</v>
      </c>
      <c r="F40" t="s">
        <v>120</v>
      </c>
      <c r="G40" t="s">
        <v>39</v>
      </c>
      <c r="H40" t="s">
        <v>18</v>
      </c>
      <c r="I40" t="s">
        <v>48</v>
      </c>
      <c r="J40" t="s">
        <v>49</v>
      </c>
      <c r="K40" t="s">
        <v>50</v>
      </c>
      <c r="L40">
        <v>2</v>
      </c>
      <c r="M40" s="1">
        <v>46240.526504629626</v>
      </c>
      <c r="S40" t="s">
        <v>51</v>
      </c>
      <c r="T40" t="s">
        <v>123</v>
      </c>
    </row>
    <row r="41" spans="1:20" x14ac:dyDescent="0.25">
      <c r="A41" s="1">
        <v>46253.730162037034</v>
      </c>
      <c r="B41" t="s">
        <v>13</v>
      </c>
      <c r="C41" t="s">
        <v>14</v>
      </c>
      <c r="D41" t="s">
        <v>15</v>
      </c>
      <c r="E41" t="s">
        <v>119</v>
      </c>
      <c r="F41" t="s">
        <v>120</v>
      </c>
      <c r="G41" t="s">
        <v>39</v>
      </c>
      <c r="H41" t="s">
        <v>18</v>
      </c>
      <c r="I41" t="s">
        <v>52</v>
      </c>
      <c r="J41" t="s">
        <v>53</v>
      </c>
      <c r="K41" t="s">
        <v>54</v>
      </c>
      <c r="L41">
        <v>0</v>
      </c>
      <c r="T41" t="s">
        <v>123</v>
      </c>
    </row>
    <row r="42" spans="1:20" x14ac:dyDescent="0.25">
      <c r="A42" s="1">
        <v>46253.730162037034</v>
      </c>
      <c r="B42" t="s">
        <v>13</v>
      </c>
      <c r="C42" t="s">
        <v>14</v>
      </c>
      <c r="D42" t="s">
        <v>15</v>
      </c>
      <c r="E42" t="s">
        <v>119</v>
      </c>
      <c r="F42" t="s">
        <v>120</v>
      </c>
      <c r="G42" t="s">
        <v>39</v>
      </c>
      <c r="H42" t="s">
        <v>18</v>
      </c>
      <c r="I42" t="s">
        <v>63</v>
      </c>
      <c r="J42" t="s">
        <v>64</v>
      </c>
      <c r="K42" t="s">
        <v>54</v>
      </c>
      <c r="L42">
        <v>0</v>
      </c>
      <c r="T42" t="s">
        <v>123</v>
      </c>
    </row>
    <row r="43" spans="1:20" x14ac:dyDescent="0.25">
      <c r="A43" s="1">
        <v>46253.730162037034</v>
      </c>
      <c r="B43" t="s">
        <v>13</v>
      </c>
      <c r="C43" t="s">
        <v>14</v>
      </c>
      <c r="D43" t="s">
        <v>15</v>
      </c>
      <c r="E43" t="s">
        <v>119</v>
      </c>
      <c r="F43" t="s">
        <v>120</v>
      </c>
      <c r="G43" t="s">
        <v>39</v>
      </c>
      <c r="H43" t="s">
        <v>18</v>
      </c>
      <c r="I43" t="s">
        <v>81</v>
      </c>
      <c r="J43" t="s">
        <v>82</v>
      </c>
      <c r="K43" t="s">
        <v>54</v>
      </c>
      <c r="L43">
        <v>0</v>
      </c>
      <c r="T43" t="s">
        <v>123</v>
      </c>
    </row>
    <row r="44" spans="1:20" x14ac:dyDescent="0.25">
      <c r="A44" s="1">
        <v>46253.730266203704</v>
      </c>
      <c r="B44" t="s">
        <v>13</v>
      </c>
      <c r="C44" t="s">
        <v>14</v>
      </c>
      <c r="D44" t="s">
        <v>15</v>
      </c>
      <c r="E44" t="s">
        <v>127</v>
      </c>
      <c r="F44" t="s">
        <v>120</v>
      </c>
      <c r="G44" t="s">
        <v>89</v>
      </c>
      <c r="H44" t="s">
        <v>18</v>
      </c>
      <c r="I44" t="s">
        <v>128</v>
      </c>
      <c r="J44" t="s">
        <v>129</v>
      </c>
      <c r="K44" t="s">
        <v>54</v>
      </c>
      <c r="L44">
        <v>0</v>
      </c>
      <c r="T44" t="s">
        <v>130</v>
      </c>
    </row>
    <row r="45" spans="1:20" x14ac:dyDescent="0.25">
      <c r="A45" s="1">
        <v>46253.73033564815</v>
      </c>
      <c r="B45" t="s">
        <v>13</v>
      </c>
      <c r="C45" t="s">
        <v>14</v>
      </c>
      <c r="D45" t="s">
        <v>15</v>
      </c>
      <c r="E45" t="s">
        <v>131</v>
      </c>
      <c r="F45" t="s">
        <v>120</v>
      </c>
      <c r="G45" t="s">
        <v>94</v>
      </c>
      <c r="H45" t="s">
        <v>18</v>
      </c>
      <c r="I45" t="s">
        <v>132</v>
      </c>
      <c r="J45" t="s">
        <v>133</v>
      </c>
      <c r="K45" t="s">
        <v>54</v>
      </c>
      <c r="L45">
        <v>0</v>
      </c>
      <c r="T45" t="s">
        <v>134</v>
      </c>
    </row>
    <row r="46" spans="1:20" x14ac:dyDescent="0.25">
      <c r="A46" s="1">
        <v>46253.73033564815</v>
      </c>
      <c r="B46" t="s">
        <v>13</v>
      </c>
      <c r="C46" t="s">
        <v>14</v>
      </c>
      <c r="D46" t="s">
        <v>15</v>
      </c>
      <c r="E46" t="s">
        <v>131</v>
      </c>
      <c r="F46" t="s">
        <v>120</v>
      </c>
      <c r="G46" t="s">
        <v>94</v>
      </c>
      <c r="H46" t="s">
        <v>18</v>
      </c>
      <c r="I46" t="s">
        <v>135</v>
      </c>
      <c r="J46" t="s">
        <v>136</v>
      </c>
      <c r="K46" t="s">
        <v>54</v>
      </c>
      <c r="L46">
        <v>0</v>
      </c>
      <c r="T46" t="s">
        <v>134</v>
      </c>
    </row>
    <row r="47" spans="1:20" x14ac:dyDescent="0.25">
      <c r="A47" s="1">
        <v>46253.73033564815</v>
      </c>
      <c r="B47" t="s">
        <v>13</v>
      </c>
      <c r="C47" t="s">
        <v>14</v>
      </c>
      <c r="D47" t="s">
        <v>15</v>
      </c>
      <c r="E47" t="s">
        <v>131</v>
      </c>
      <c r="F47" t="s">
        <v>120</v>
      </c>
      <c r="G47" t="s">
        <v>94</v>
      </c>
      <c r="H47" t="s">
        <v>18</v>
      </c>
      <c r="I47" t="s">
        <v>137</v>
      </c>
      <c r="J47" t="s">
        <v>138</v>
      </c>
      <c r="K47" t="s">
        <v>54</v>
      </c>
      <c r="L47">
        <v>0</v>
      </c>
      <c r="T47" t="s">
        <v>134</v>
      </c>
    </row>
    <row r="48" spans="1:20" x14ac:dyDescent="0.25">
      <c r="A48" s="1">
        <v>46253.73033564815</v>
      </c>
      <c r="B48" t="s">
        <v>13</v>
      </c>
      <c r="C48" t="s">
        <v>14</v>
      </c>
      <c r="D48" t="s">
        <v>15</v>
      </c>
      <c r="E48" t="s">
        <v>131</v>
      </c>
      <c r="F48" t="s">
        <v>120</v>
      </c>
      <c r="G48" t="s">
        <v>94</v>
      </c>
      <c r="H48" t="s">
        <v>18</v>
      </c>
      <c r="I48" t="s">
        <v>139</v>
      </c>
      <c r="J48" t="s">
        <v>140</v>
      </c>
      <c r="K48" t="s">
        <v>54</v>
      </c>
      <c r="L48">
        <v>0</v>
      </c>
      <c r="T48" t="s">
        <v>134</v>
      </c>
    </row>
    <row r="49" spans="1:20" x14ac:dyDescent="0.25">
      <c r="A49" s="1">
        <v>46253.73033564815</v>
      </c>
      <c r="B49" t="s">
        <v>13</v>
      </c>
      <c r="C49" t="s">
        <v>14</v>
      </c>
      <c r="D49" t="s">
        <v>15</v>
      </c>
      <c r="E49" t="s">
        <v>131</v>
      </c>
      <c r="F49" t="s">
        <v>120</v>
      </c>
      <c r="G49" t="s">
        <v>94</v>
      </c>
      <c r="H49" t="s">
        <v>18</v>
      </c>
      <c r="I49" t="s">
        <v>141</v>
      </c>
      <c r="J49" t="s">
        <v>142</v>
      </c>
      <c r="K49" t="s">
        <v>50</v>
      </c>
      <c r="L49">
        <v>1</v>
      </c>
      <c r="M49" s="1">
        <v>46240.526516203703</v>
      </c>
      <c r="S49" t="s">
        <v>143</v>
      </c>
      <c r="T49" t="s">
        <v>134</v>
      </c>
    </row>
    <row r="50" spans="1:20" x14ac:dyDescent="0.25">
      <c r="A50" s="1">
        <v>46253.73033564815</v>
      </c>
      <c r="B50" t="s">
        <v>13</v>
      </c>
      <c r="C50" t="s">
        <v>14</v>
      </c>
      <c r="D50" t="s">
        <v>15</v>
      </c>
      <c r="E50" t="s">
        <v>131</v>
      </c>
      <c r="F50" t="s">
        <v>120</v>
      </c>
      <c r="G50" t="s">
        <v>94</v>
      </c>
      <c r="H50" t="s">
        <v>18</v>
      </c>
      <c r="I50" t="s">
        <v>108</v>
      </c>
      <c r="J50" t="s">
        <v>109</v>
      </c>
      <c r="K50" t="s">
        <v>54</v>
      </c>
      <c r="L50">
        <v>0</v>
      </c>
      <c r="T50" t="s">
        <v>134</v>
      </c>
    </row>
    <row r="51" spans="1:20" x14ac:dyDescent="0.25">
      <c r="A51" s="1">
        <v>46253.73033564815</v>
      </c>
      <c r="B51" t="s">
        <v>13</v>
      </c>
      <c r="C51" t="s">
        <v>14</v>
      </c>
      <c r="D51" t="s">
        <v>15</v>
      </c>
      <c r="E51" t="s">
        <v>131</v>
      </c>
      <c r="F51" t="s">
        <v>120</v>
      </c>
      <c r="G51" t="s">
        <v>94</v>
      </c>
      <c r="H51" t="s">
        <v>18</v>
      </c>
      <c r="I51" t="s">
        <v>112</v>
      </c>
      <c r="J51" t="s">
        <v>113</v>
      </c>
      <c r="K51" t="s">
        <v>54</v>
      </c>
      <c r="L51">
        <v>0</v>
      </c>
      <c r="T51" t="s">
        <v>134</v>
      </c>
    </row>
  </sheetData>
  <conditionalFormatting sqref="A2:T51">
    <cfRule type="expression" dxfId="6" priority="1" stopIfTrue="1">
      <formula>$K2="APPROVED"</formula>
    </cfRule>
    <cfRule type="expression" dxfId="5" priority="2" stopIfTrue="1">
      <formula>$K2="ON REVIEW"</formula>
    </cfRule>
    <cfRule type="expression" dxfId="4" priority="3" stopIfTrue="1">
      <formula>$K2="REVISION"</formula>
    </cfRule>
    <cfRule type="expression" dxfId="3" priority="4" stopIfTrue="1">
      <formula>$K2="NOT UPLOADED"</formula>
    </cfRule>
    <cfRule type="expression" dxfId="2" priority="5" stopIfTrue="1">
      <formula>$K2="SKIPPED_CERTIFICATE_SENT"</formula>
    </cfRule>
    <cfRule type="expression" dxfId="1" priority="6" stopIfTrue="1">
      <formula>$K2="PROJECT_OPNAME_NOT_FOUND"</formula>
    </cfRule>
    <cfRule type="expression" dxfId="0" priority="7" stopIfTrue="1">
      <formula>$K2="ROUTE_ERROR"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CFA3-3E09-42DA-89AA-A733A73859F7}">
  <sheetPr>
    <tabColor rgb="FF00B0F0"/>
  </sheetPr>
  <dimension ref="A1:M2"/>
  <sheetViews>
    <sheetView workbookViewId="0"/>
  </sheetViews>
  <sheetFormatPr defaultRowHeight="15" x14ac:dyDescent="0.25"/>
  <cols>
    <col min="1" max="1" width="13.5703125" bestFit="1" customWidth="1"/>
    <col min="2" max="2" width="12.5703125" bestFit="1" customWidth="1"/>
    <col min="3" max="3" width="43.42578125" bestFit="1" customWidth="1"/>
    <col min="4" max="4" width="41" bestFit="1" customWidth="1"/>
    <col min="5" max="5" width="24.140625" bestFit="1" customWidth="1"/>
    <col min="6" max="6" width="19.5703125" bestFit="1" customWidth="1"/>
    <col min="7" max="7" width="9.85546875" bestFit="1" customWidth="1"/>
    <col min="8" max="8" width="24" bestFit="1" customWidth="1"/>
    <col min="9" max="9" width="25.85546875" bestFit="1" customWidth="1"/>
    <col min="10" max="10" width="20.140625" bestFit="1" customWidth="1"/>
    <col min="11" max="11" width="20.42578125" bestFit="1" customWidth="1"/>
    <col min="12" max="12" width="22.85546875" bestFit="1" customWidth="1"/>
    <col min="13" max="13" width="216.140625" bestFit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46253.729444444441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</row>
  </sheetData>
  <conditionalFormatting sqref="A2:M2">
    <cfRule type="expression" dxfId="13" priority="1" stopIfTrue="1">
      <formula>$L2="APPROVED"</formula>
    </cfRule>
    <cfRule type="expression" dxfId="12" priority="2" stopIfTrue="1">
      <formula>$L2="ON REVIEW"</formula>
    </cfRule>
    <cfRule type="expression" dxfId="11" priority="3" stopIfTrue="1">
      <formula>$L2="REVISION"</formula>
    </cfRule>
    <cfRule type="expression" dxfId="10" priority="4" stopIfTrue="1">
      <formula>$L2="NOT UPLOADED"</formula>
    </cfRule>
    <cfRule type="expression" dxfId="9" priority="5" stopIfTrue="1">
      <formula>$L2="SKIPPED_CERTIFICATE_SENT"</formula>
    </cfRule>
    <cfRule type="expression" dxfId="8" priority="6" stopIfTrue="1">
      <formula>$L2="PROJECT_OPNAME_NOT_FOUND"</formula>
    </cfRule>
    <cfRule type="expression" dxfId="7" priority="7" stopIfTrue="1">
      <formula>$L2="ROUTE_ERROR"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Document_Detail</vt:lpstr>
      <vt:lpstr>Cluster_Status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SRFT Y</dc:creator>
  <cp:lastModifiedBy>SRFT Y</cp:lastModifiedBy>
  <dcterms:created xsi:type="dcterms:W3CDTF">2026-08-19T10:31:43Z</dcterms:created>
  <dcterms:modified xsi:type="dcterms:W3CDTF">2026-08-19T10:31:49Z</dcterms:modified>
</cp:coreProperties>
</file>