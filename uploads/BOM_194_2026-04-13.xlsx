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KM\Pictures\DEVELOPMENT - MYREP\"/>
    </mc:Choice>
  </mc:AlternateContent>
  <xr:revisionPtr revIDLastSave="0" documentId="13_ncr:1_{A43552BA-21B4-4BCA-A571-15E068017793}" xr6:coauthVersionLast="47" xr6:coauthVersionMax="47" xr10:uidLastSave="{00000000-0000-0000-0000-000000000000}"/>
  <bookViews>
    <workbookView xWindow="-120" yWindow="-120" windowWidth="29040" windowHeight="15720" tabRatio="466" activeTab="1" xr2:uid="{7EE2155C-6A26-4C63-A1BD-DF8E9AB4C4FC}"/>
  </bookViews>
  <sheets>
    <sheet name="Sheet2" sheetId="2" r:id="rId1"/>
    <sheet name="FORCASE" sheetId="1" r:id="rId2"/>
    <sheet name="Dimas" sheetId="3" r:id="rId3"/>
  </sheets>
  <definedNames>
    <definedName name="_xlnm._FilterDatabase" localSheetId="2" hidden="1">Dimas!$B$7:$BL$78</definedName>
    <definedName name="_xlnm._FilterDatabase" localSheetId="1" hidden="1">FORCASE!$B$7:$BM$127</definedName>
  </definedNames>
  <calcPr calcId="191029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7" i="1" l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L128" i="1"/>
  <c r="BK128" i="1"/>
  <c r="BJ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BI127" i="1"/>
  <c r="BM127" i="1" s="1"/>
  <c r="BH127" i="1"/>
  <c r="BG127" i="1"/>
  <c r="BF127" i="1"/>
  <c r="BI126" i="1"/>
  <c r="BM126" i="1" s="1"/>
  <c r="BH126" i="1"/>
  <c r="BG126" i="1"/>
  <c r="BF126" i="1"/>
  <c r="BI125" i="1"/>
  <c r="BM125" i="1" s="1"/>
  <c r="BH125" i="1"/>
  <c r="BG125" i="1"/>
  <c r="BF125" i="1"/>
  <c r="BI124" i="1"/>
  <c r="BM124" i="1" s="1"/>
  <c r="BH124" i="1"/>
  <c r="BG124" i="1"/>
  <c r="BF124" i="1"/>
  <c r="BI121" i="1"/>
  <c r="BM121" i="1" s="1"/>
  <c r="BH121" i="1"/>
  <c r="BG121" i="1"/>
  <c r="BF121" i="1"/>
  <c r="BI120" i="1"/>
  <c r="BM120" i="1" s="1"/>
  <c r="BH120" i="1"/>
  <c r="BG120" i="1"/>
  <c r="BF120" i="1"/>
  <c r="BI117" i="1"/>
  <c r="BM117" i="1" s="1"/>
  <c r="BH117" i="1"/>
  <c r="BG117" i="1"/>
  <c r="BF117" i="1"/>
  <c r="BI116" i="1"/>
  <c r="BM116" i="1" s="1"/>
  <c r="BH116" i="1"/>
  <c r="BG116" i="1"/>
  <c r="BF116" i="1"/>
  <c r="BI113" i="1"/>
  <c r="BM113" i="1" s="1"/>
  <c r="BH113" i="1"/>
  <c r="BG113" i="1"/>
  <c r="BF113" i="1"/>
  <c r="BI111" i="1"/>
  <c r="BM111" i="1" s="1"/>
  <c r="BH111" i="1"/>
  <c r="BG111" i="1"/>
  <c r="BF111" i="1"/>
  <c r="BI109" i="1"/>
  <c r="BM109" i="1" s="1"/>
  <c r="BH109" i="1"/>
  <c r="BG109" i="1"/>
  <c r="BF109" i="1"/>
  <c r="BI104" i="1"/>
  <c r="BM104" i="1" s="1"/>
  <c r="BH104" i="1"/>
  <c r="BG104" i="1"/>
  <c r="BF104" i="1"/>
  <c r="BI96" i="1"/>
  <c r="BM96" i="1" s="1"/>
  <c r="BH96" i="1"/>
  <c r="BG96" i="1"/>
  <c r="BF96" i="1"/>
  <c r="BI87" i="1"/>
  <c r="BM87" i="1" s="1"/>
  <c r="BH87" i="1"/>
  <c r="BG87" i="1"/>
  <c r="BF87" i="1"/>
  <c r="BI85" i="1"/>
  <c r="BM85" i="1" s="1"/>
  <c r="BH85" i="1"/>
  <c r="BG85" i="1"/>
  <c r="BF85" i="1"/>
  <c r="BI82" i="1"/>
  <c r="BM82" i="1" s="1"/>
  <c r="BH82" i="1"/>
  <c r="BG82" i="1"/>
  <c r="BF82" i="1"/>
  <c r="BI81" i="1"/>
  <c r="BM81" i="1" s="1"/>
  <c r="BH81" i="1"/>
  <c r="BG81" i="1"/>
  <c r="BF81" i="1"/>
  <c r="BI75" i="1"/>
  <c r="BM75" i="1" s="1"/>
  <c r="BH75" i="1"/>
  <c r="BG75" i="1"/>
  <c r="BF75" i="1"/>
  <c r="BI69" i="1"/>
  <c r="BM69" i="1" s="1"/>
  <c r="BH69" i="1"/>
  <c r="BG69" i="1"/>
  <c r="BF69" i="1"/>
  <c r="BI68" i="1"/>
  <c r="BM68" i="1" s="1"/>
  <c r="BH68" i="1"/>
  <c r="BG68" i="1"/>
  <c r="BF68" i="1"/>
  <c r="BI67" i="1"/>
  <c r="BM67" i="1" s="1"/>
  <c r="BH67" i="1"/>
  <c r="BG67" i="1"/>
  <c r="BF67" i="1"/>
  <c r="BI65" i="1"/>
  <c r="BM65" i="1" s="1"/>
  <c r="BH65" i="1"/>
  <c r="BG65" i="1"/>
  <c r="BF65" i="1"/>
  <c r="BI63" i="1"/>
  <c r="BM63" i="1" s="1"/>
  <c r="BH63" i="1"/>
  <c r="BG63" i="1"/>
  <c r="BF63" i="1"/>
  <c r="BI62" i="1"/>
  <c r="BM62" i="1" s="1"/>
  <c r="BH62" i="1"/>
  <c r="BG62" i="1"/>
  <c r="BF62" i="1"/>
  <c r="BI61" i="1"/>
  <c r="BM61" i="1" s="1"/>
  <c r="BH61" i="1"/>
  <c r="BG61" i="1"/>
  <c r="BF61" i="1"/>
  <c r="BI60" i="1"/>
  <c r="BM60" i="1" s="1"/>
  <c r="BH60" i="1"/>
  <c r="BG60" i="1"/>
  <c r="BF60" i="1"/>
  <c r="BI59" i="1"/>
  <c r="BM59" i="1" s="1"/>
  <c r="BH59" i="1"/>
  <c r="BG59" i="1"/>
  <c r="BF59" i="1"/>
  <c r="BI58" i="1"/>
  <c r="BM58" i="1" s="1"/>
  <c r="BH58" i="1"/>
  <c r="BG58" i="1"/>
  <c r="BF58" i="1"/>
  <c r="BI55" i="1"/>
  <c r="BM55" i="1" s="1"/>
  <c r="BH55" i="1"/>
  <c r="BG55" i="1"/>
  <c r="BF55" i="1"/>
  <c r="BI53" i="1"/>
  <c r="BM53" i="1" s="1"/>
  <c r="BH53" i="1"/>
  <c r="BG53" i="1"/>
  <c r="BF53" i="1"/>
  <c r="BI51" i="1"/>
  <c r="BM51" i="1" s="1"/>
  <c r="BH51" i="1"/>
  <c r="BG51" i="1"/>
  <c r="BF51" i="1"/>
  <c r="BI48" i="1"/>
  <c r="BM48" i="1" s="1"/>
  <c r="BH48" i="1"/>
  <c r="BG48" i="1"/>
  <c r="BF48" i="1"/>
  <c r="BI47" i="1"/>
  <c r="BM47" i="1" s="1"/>
  <c r="BH47" i="1"/>
  <c r="BG47" i="1"/>
  <c r="BF47" i="1"/>
  <c r="BI45" i="1"/>
  <c r="BM45" i="1" s="1"/>
  <c r="BH45" i="1"/>
  <c r="BG45" i="1"/>
  <c r="BF45" i="1"/>
  <c r="BI44" i="1"/>
  <c r="BM44" i="1" s="1"/>
  <c r="BH44" i="1"/>
  <c r="BG44" i="1"/>
  <c r="BF44" i="1"/>
  <c r="BI43" i="1"/>
  <c r="BM43" i="1" s="1"/>
  <c r="BH43" i="1"/>
  <c r="BG43" i="1"/>
  <c r="BF43" i="1"/>
  <c r="BI41" i="1"/>
  <c r="BM41" i="1" s="1"/>
  <c r="BH41" i="1"/>
  <c r="BG41" i="1"/>
  <c r="BF41" i="1"/>
  <c r="BI39" i="1"/>
  <c r="BM39" i="1" s="1"/>
  <c r="BH39" i="1"/>
  <c r="BG39" i="1"/>
  <c r="BF39" i="1"/>
  <c r="BI38" i="1"/>
  <c r="BM38" i="1" s="1"/>
  <c r="BH38" i="1"/>
  <c r="BG38" i="1"/>
  <c r="BF38" i="1"/>
  <c r="BI37" i="1"/>
  <c r="BM37" i="1" s="1"/>
  <c r="BH37" i="1"/>
  <c r="BG37" i="1"/>
  <c r="BF37" i="1"/>
  <c r="BI36" i="1"/>
  <c r="BM36" i="1" s="1"/>
  <c r="BH36" i="1"/>
  <c r="BG36" i="1"/>
  <c r="BF36" i="1"/>
  <c r="BI32" i="1"/>
  <c r="BM32" i="1" s="1"/>
  <c r="BH32" i="1"/>
  <c r="BG32" i="1"/>
  <c r="BF32" i="1"/>
  <c r="BI28" i="1"/>
  <c r="BM28" i="1" s="1"/>
  <c r="BH28" i="1"/>
  <c r="BG28" i="1"/>
  <c r="BF28" i="1"/>
  <c r="BI22" i="1"/>
  <c r="BM22" i="1" s="1"/>
  <c r="BH22" i="1"/>
  <c r="BG22" i="1"/>
  <c r="BF22" i="1"/>
  <c r="BI16" i="1"/>
  <c r="BM16" i="1" s="1"/>
  <c r="BH16" i="1"/>
  <c r="BG16" i="1"/>
  <c r="BF16" i="1"/>
  <c r="BI15" i="1"/>
  <c r="BM15" i="1" s="1"/>
  <c r="BH15" i="1"/>
  <c r="BG15" i="1"/>
  <c r="BF15" i="1"/>
  <c r="BI13" i="1"/>
  <c r="BM13" i="1" s="1"/>
  <c r="BH13" i="1"/>
  <c r="BG13" i="1"/>
  <c r="BF13" i="1"/>
  <c r="BI12" i="1"/>
  <c r="BM12" i="1" s="1"/>
  <c r="BH12" i="1"/>
  <c r="BG12" i="1"/>
  <c r="BF12" i="1"/>
  <c r="BI10" i="1"/>
  <c r="BM10" i="1" s="1"/>
  <c r="BH10" i="1"/>
  <c r="BG10" i="1"/>
  <c r="BF10" i="1"/>
  <c r="BI29" i="1"/>
  <c r="BM29" i="1" s="1"/>
  <c r="BH29" i="1"/>
  <c r="BG29" i="1"/>
  <c r="BF29" i="1"/>
  <c r="BI119" i="1"/>
  <c r="BM119" i="1" s="1"/>
  <c r="BH119" i="1"/>
  <c r="BG119" i="1"/>
  <c r="BF119" i="1"/>
  <c r="BI112" i="1"/>
  <c r="BM112" i="1" s="1"/>
  <c r="BH112" i="1"/>
  <c r="BG112" i="1"/>
  <c r="BF112" i="1"/>
  <c r="BI123" i="1"/>
  <c r="BM123" i="1" s="1"/>
  <c r="BH123" i="1"/>
  <c r="BG123" i="1"/>
  <c r="BF123" i="1"/>
  <c r="BI118" i="1"/>
  <c r="BM118" i="1" s="1"/>
  <c r="BH118" i="1"/>
  <c r="BG118" i="1"/>
  <c r="BF118" i="1"/>
  <c r="BI19" i="1"/>
  <c r="BM19" i="1" s="1"/>
  <c r="BH19" i="1"/>
  <c r="BG19" i="1"/>
  <c r="BF19" i="1"/>
  <c r="BI115" i="1"/>
  <c r="BM115" i="1" s="1"/>
  <c r="BH115" i="1"/>
  <c r="BG115" i="1"/>
  <c r="BF115" i="1"/>
  <c r="BI42" i="1"/>
  <c r="BM42" i="1" s="1"/>
  <c r="BH42" i="1"/>
  <c r="BG42" i="1"/>
  <c r="BF42" i="1"/>
  <c r="BI35" i="1"/>
  <c r="BM35" i="1" s="1"/>
  <c r="BH35" i="1"/>
  <c r="BG35" i="1"/>
  <c r="BF35" i="1"/>
  <c r="BI114" i="1"/>
  <c r="BM114" i="1" s="1"/>
  <c r="BH114" i="1"/>
  <c r="BG114" i="1"/>
  <c r="BF114" i="1"/>
  <c r="BI26" i="1"/>
  <c r="BM26" i="1" s="1"/>
  <c r="BH26" i="1"/>
  <c r="BG26" i="1"/>
  <c r="BF26" i="1"/>
  <c r="BI14" i="1"/>
  <c r="BM14" i="1" s="1"/>
  <c r="BH14" i="1"/>
  <c r="BG14" i="1"/>
  <c r="BF14" i="1"/>
  <c r="BI122" i="1"/>
  <c r="BM122" i="1" s="1"/>
  <c r="BH122" i="1"/>
  <c r="BG122" i="1"/>
  <c r="BF122" i="1"/>
  <c r="BI34" i="1"/>
  <c r="BM34" i="1" s="1"/>
  <c r="BH34" i="1"/>
  <c r="BG34" i="1"/>
  <c r="BF34" i="1"/>
  <c r="BI9" i="1"/>
  <c r="BM9" i="1" s="1"/>
  <c r="BH9" i="1"/>
  <c r="BG9" i="1"/>
  <c r="BF9" i="1"/>
  <c r="BI91" i="1"/>
  <c r="BM91" i="1" s="1"/>
  <c r="BH91" i="1"/>
  <c r="BG91" i="1"/>
  <c r="BF91" i="1"/>
  <c r="BI49" i="1"/>
  <c r="BM49" i="1" s="1"/>
  <c r="BH49" i="1"/>
  <c r="BG49" i="1"/>
  <c r="BF49" i="1"/>
  <c r="BI31" i="1"/>
  <c r="BM31" i="1" s="1"/>
  <c r="BH31" i="1"/>
  <c r="BG31" i="1"/>
  <c r="BF31" i="1"/>
  <c r="BI77" i="1"/>
  <c r="BM77" i="1" s="1"/>
  <c r="BH77" i="1"/>
  <c r="BG77" i="1"/>
  <c r="BF77" i="1"/>
  <c r="BI56" i="1"/>
  <c r="BM56" i="1" s="1"/>
  <c r="BH56" i="1"/>
  <c r="BG56" i="1"/>
  <c r="BF56" i="1"/>
  <c r="BI72" i="1"/>
  <c r="BM72" i="1" s="1"/>
  <c r="BH72" i="1"/>
  <c r="BG72" i="1"/>
  <c r="BF72" i="1"/>
  <c r="BI86" i="1"/>
  <c r="BM86" i="1" s="1"/>
  <c r="BH86" i="1"/>
  <c r="BG86" i="1"/>
  <c r="BF86" i="1"/>
  <c r="BI79" i="1"/>
  <c r="BM79" i="1" s="1"/>
  <c r="BH79" i="1"/>
  <c r="BG79" i="1"/>
  <c r="BF79" i="1"/>
  <c r="BI83" i="1"/>
  <c r="BM83" i="1" s="1"/>
  <c r="BH83" i="1"/>
  <c r="BG83" i="1"/>
  <c r="BF83" i="1"/>
  <c r="BI80" i="1"/>
  <c r="BM80" i="1" s="1"/>
  <c r="BH80" i="1"/>
  <c r="BG80" i="1"/>
  <c r="BF80" i="1"/>
  <c r="BI76" i="1"/>
  <c r="BM76" i="1" s="1"/>
  <c r="BH76" i="1"/>
  <c r="BG76" i="1"/>
  <c r="BF76" i="1"/>
  <c r="BI23" i="1"/>
  <c r="BM23" i="1" s="1"/>
  <c r="BH23" i="1"/>
  <c r="BG23" i="1"/>
  <c r="BF23" i="1"/>
  <c r="BI93" i="1"/>
  <c r="BM93" i="1" s="1"/>
  <c r="BH93" i="1"/>
  <c r="BG93" i="1"/>
  <c r="BF93" i="1"/>
  <c r="BI20" i="1"/>
  <c r="BM20" i="1" s="1"/>
  <c r="BH20" i="1"/>
  <c r="BG20" i="1"/>
  <c r="BF20" i="1"/>
  <c r="BI24" i="1"/>
  <c r="BM24" i="1" s="1"/>
  <c r="BH24" i="1"/>
  <c r="BG24" i="1"/>
  <c r="BF24" i="1"/>
  <c r="BI8" i="1"/>
  <c r="BM8" i="1" s="1"/>
  <c r="BH8" i="1"/>
  <c r="BG8" i="1"/>
  <c r="BF8" i="1"/>
  <c r="BI11" i="1"/>
  <c r="BM11" i="1" s="1"/>
  <c r="BH11" i="1"/>
  <c r="BG11" i="1"/>
  <c r="BF11" i="1"/>
  <c r="BI52" i="1"/>
  <c r="BM52" i="1" s="1"/>
  <c r="BH52" i="1"/>
  <c r="BG52" i="1"/>
  <c r="BF52" i="1"/>
  <c r="BI30" i="1"/>
  <c r="BM30" i="1" s="1"/>
  <c r="BH30" i="1"/>
  <c r="BG30" i="1"/>
  <c r="BF30" i="1"/>
  <c r="BI21" i="1"/>
  <c r="BM21" i="1" s="1"/>
  <c r="BH21" i="1"/>
  <c r="BG21" i="1"/>
  <c r="BF21" i="1"/>
  <c r="BI18" i="1"/>
  <c r="BM18" i="1" s="1"/>
  <c r="BH18" i="1"/>
  <c r="BG18" i="1"/>
  <c r="BF18" i="1"/>
  <c r="BI17" i="1"/>
  <c r="BM17" i="1" s="1"/>
  <c r="BH17" i="1"/>
  <c r="BG17" i="1"/>
  <c r="BF17" i="1"/>
  <c r="BI108" i="1"/>
  <c r="BM108" i="1" s="1"/>
  <c r="BH108" i="1"/>
  <c r="BG108" i="1"/>
  <c r="BF108" i="1"/>
  <c r="BI88" i="1"/>
  <c r="BM88" i="1" s="1"/>
  <c r="BH88" i="1"/>
  <c r="BG88" i="1"/>
  <c r="BF88" i="1"/>
  <c r="BI71" i="1"/>
  <c r="BM71" i="1" s="1"/>
  <c r="BH71" i="1"/>
  <c r="BG71" i="1"/>
  <c r="BF71" i="1"/>
  <c r="BI64" i="1"/>
  <c r="BM64" i="1" s="1"/>
  <c r="BH64" i="1"/>
  <c r="BG64" i="1"/>
  <c r="BF64" i="1"/>
  <c r="BI70" i="1"/>
  <c r="BM70" i="1" s="1"/>
  <c r="BH70" i="1"/>
  <c r="BG70" i="1"/>
  <c r="BF70" i="1"/>
  <c r="BI50" i="1"/>
  <c r="BM50" i="1" s="1"/>
  <c r="BH50" i="1"/>
  <c r="BG50" i="1"/>
  <c r="BF50" i="1"/>
  <c r="BI90" i="1"/>
  <c r="BM90" i="1" s="1"/>
  <c r="BH90" i="1"/>
  <c r="BG90" i="1"/>
  <c r="BF90" i="1"/>
  <c r="BI46" i="1"/>
  <c r="BM46" i="1" s="1"/>
  <c r="BH46" i="1"/>
  <c r="BG46" i="1"/>
  <c r="BF46" i="1"/>
  <c r="BI97" i="1"/>
  <c r="BM97" i="1" s="1"/>
  <c r="BH97" i="1"/>
  <c r="BG97" i="1"/>
  <c r="BF97" i="1"/>
  <c r="BI106" i="1"/>
  <c r="BM106" i="1" s="1"/>
  <c r="BH106" i="1"/>
  <c r="BG106" i="1"/>
  <c r="BF106" i="1"/>
  <c r="BI101" i="1"/>
  <c r="BM101" i="1" s="1"/>
  <c r="BH101" i="1"/>
  <c r="BG101" i="1"/>
  <c r="BF101" i="1"/>
  <c r="BI66" i="1"/>
  <c r="BM66" i="1" s="1"/>
  <c r="BH66" i="1"/>
  <c r="BG66" i="1"/>
  <c r="BF66" i="1"/>
  <c r="BI25" i="1"/>
  <c r="BM25" i="1" s="1"/>
  <c r="BH25" i="1"/>
  <c r="BG25" i="1"/>
  <c r="BF25" i="1"/>
  <c r="BI78" i="1"/>
  <c r="BM78" i="1" s="1"/>
  <c r="BH78" i="1"/>
  <c r="BG78" i="1"/>
  <c r="BF78" i="1"/>
  <c r="BI54" i="1"/>
  <c r="BM54" i="1" s="1"/>
  <c r="BH54" i="1"/>
  <c r="BG54" i="1"/>
  <c r="BF54" i="1"/>
  <c r="BI33" i="1"/>
  <c r="BM33" i="1" s="1"/>
  <c r="BH33" i="1"/>
  <c r="BG33" i="1"/>
  <c r="BF33" i="1"/>
  <c r="BI40" i="1"/>
  <c r="BM40" i="1" s="1"/>
  <c r="BH40" i="1"/>
  <c r="BG40" i="1"/>
  <c r="BF40" i="1"/>
  <c r="BI84" i="1"/>
  <c r="BM84" i="1" s="1"/>
  <c r="BH84" i="1"/>
  <c r="BG84" i="1"/>
  <c r="BF84" i="1"/>
  <c r="BI103" i="1"/>
  <c r="BM103" i="1" s="1"/>
  <c r="BH103" i="1"/>
  <c r="BG103" i="1"/>
  <c r="BF103" i="1"/>
  <c r="BI105" i="1"/>
  <c r="BM105" i="1" s="1"/>
  <c r="BH105" i="1"/>
  <c r="BG105" i="1"/>
  <c r="BF105" i="1"/>
  <c r="BI99" i="1"/>
  <c r="BM99" i="1" s="1"/>
  <c r="BH99" i="1"/>
  <c r="BG99" i="1"/>
  <c r="BF99" i="1"/>
  <c r="BI73" i="1"/>
  <c r="BM73" i="1" s="1"/>
  <c r="BH73" i="1"/>
  <c r="BG73" i="1"/>
  <c r="BF73" i="1"/>
  <c r="BI110" i="1"/>
  <c r="BM110" i="1" s="1"/>
  <c r="BH110" i="1"/>
  <c r="BG110" i="1"/>
  <c r="BF110" i="1"/>
  <c r="BI102" i="1"/>
  <c r="BM102" i="1" s="1"/>
  <c r="BH102" i="1"/>
  <c r="BG102" i="1"/>
  <c r="BF102" i="1"/>
  <c r="BI92" i="1"/>
  <c r="BM92" i="1" s="1"/>
  <c r="BH92" i="1"/>
  <c r="BG92" i="1"/>
  <c r="BF92" i="1"/>
  <c r="BI57" i="1"/>
  <c r="BM57" i="1" s="1"/>
  <c r="BH57" i="1"/>
  <c r="BG57" i="1"/>
  <c r="BF57" i="1"/>
  <c r="BI27" i="1"/>
  <c r="BM27" i="1" s="1"/>
  <c r="BH27" i="1"/>
  <c r="BG27" i="1"/>
  <c r="BF27" i="1"/>
  <c r="BI107" i="1"/>
  <c r="BM107" i="1" s="1"/>
  <c r="BH107" i="1"/>
  <c r="BG107" i="1"/>
  <c r="BF107" i="1"/>
  <c r="BI100" i="1"/>
  <c r="BM100" i="1" s="1"/>
  <c r="BH100" i="1"/>
  <c r="BG100" i="1"/>
  <c r="BF100" i="1"/>
  <c r="BI98" i="1"/>
  <c r="BM98" i="1" s="1"/>
  <c r="BH98" i="1"/>
  <c r="BG98" i="1"/>
  <c r="BF98" i="1"/>
  <c r="BI95" i="1"/>
  <c r="BM95" i="1" s="1"/>
  <c r="BH95" i="1"/>
  <c r="BG95" i="1"/>
  <c r="BF95" i="1"/>
  <c r="BI94" i="1"/>
  <c r="BM94" i="1" s="1"/>
  <c r="BH94" i="1"/>
  <c r="BG94" i="1"/>
  <c r="BF94" i="1"/>
  <c r="BI89" i="1"/>
  <c r="BM89" i="1" s="1"/>
  <c r="BH89" i="1"/>
  <c r="BG89" i="1"/>
  <c r="BF89" i="1"/>
  <c r="BK79" i="3"/>
  <c r="BJ79" i="3"/>
  <c r="BI79" i="3"/>
  <c r="BH79" i="3"/>
  <c r="BC79" i="3"/>
  <c r="BB79" i="3"/>
  <c r="BA79" i="3"/>
  <c r="AZ79" i="3"/>
  <c r="AY79" i="3"/>
  <c r="AX79" i="3"/>
  <c r="AW79" i="3"/>
  <c r="AV79" i="3"/>
  <c r="AU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BG78" i="3"/>
  <c r="BF78" i="3"/>
  <c r="BE78" i="3"/>
  <c r="BD78" i="3"/>
  <c r="B78" i="3"/>
  <c r="BG77" i="3"/>
  <c r="BF77" i="3"/>
  <c r="BE77" i="3"/>
  <c r="BD77" i="3"/>
  <c r="B77" i="3"/>
  <c r="BG76" i="3"/>
  <c r="BF76" i="3"/>
  <c r="BE76" i="3"/>
  <c r="BD76" i="3"/>
  <c r="B76" i="3"/>
  <c r="BG75" i="3"/>
  <c r="BF75" i="3"/>
  <c r="BE75" i="3"/>
  <c r="BD75" i="3"/>
  <c r="B75" i="3"/>
  <c r="BG74" i="3"/>
  <c r="BF74" i="3"/>
  <c r="BE74" i="3"/>
  <c r="BD74" i="3"/>
  <c r="B74" i="3"/>
  <c r="BG73" i="3"/>
  <c r="BF73" i="3"/>
  <c r="BE73" i="3"/>
  <c r="BD73" i="3"/>
  <c r="B73" i="3"/>
  <c r="BG72" i="3"/>
  <c r="BF72" i="3"/>
  <c r="BE72" i="3"/>
  <c r="BD72" i="3"/>
  <c r="B72" i="3"/>
  <c r="BG71" i="3"/>
  <c r="BF71" i="3"/>
  <c r="BE71" i="3"/>
  <c r="BD71" i="3"/>
  <c r="B71" i="3"/>
  <c r="BG70" i="3"/>
  <c r="BF70" i="3"/>
  <c r="BE70" i="3"/>
  <c r="BD70" i="3"/>
  <c r="B70" i="3"/>
  <c r="BG69" i="3"/>
  <c r="BF69" i="3"/>
  <c r="BE69" i="3"/>
  <c r="BD69" i="3"/>
  <c r="B69" i="3"/>
  <c r="BG68" i="3"/>
  <c r="BF68" i="3"/>
  <c r="BE68" i="3"/>
  <c r="BD68" i="3"/>
  <c r="B68" i="3"/>
  <c r="BG67" i="3"/>
  <c r="BF67" i="3"/>
  <c r="BE67" i="3"/>
  <c r="BD67" i="3"/>
  <c r="B67" i="3"/>
  <c r="BG66" i="3"/>
  <c r="BF66" i="3"/>
  <c r="BE66" i="3"/>
  <c r="BD66" i="3"/>
  <c r="B66" i="3"/>
  <c r="BG65" i="3"/>
  <c r="BF65" i="3"/>
  <c r="BE65" i="3"/>
  <c r="BD65" i="3"/>
  <c r="B65" i="3"/>
  <c r="BG64" i="3"/>
  <c r="BF64" i="3"/>
  <c r="BE64" i="3"/>
  <c r="BD64" i="3"/>
  <c r="B64" i="3"/>
  <c r="BG63" i="3"/>
  <c r="BF63" i="3"/>
  <c r="BE63" i="3"/>
  <c r="BD63" i="3"/>
  <c r="B63" i="3"/>
  <c r="BG62" i="3"/>
  <c r="BF62" i="3"/>
  <c r="BE62" i="3"/>
  <c r="BD62" i="3"/>
  <c r="B62" i="3"/>
  <c r="BG61" i="3"/>
  <c r="BF61" i="3"/>
  <c r="BE61" i="3"/>
  <c r="BD61" i="3"/>
  <c r="B61" i="3"/>
  <c r="BG60" i="3"/>
  <c r="BF60" i="3"/>
  <c r="BE60" i="3"/>
  <c r="BD60" i="3"/>
  <c r="B60" i="3"/>
  <c r="BG59" i="3"/>
  <c r="BF59" i="3"/>
  <c r="BE59" i="3"/>
  <c r="BD59" i="3"/>
  <c r="B59" i="3"/>
  <c r="BG58" i="3"/>
  <c r="BF58" i="3"/>
  <c r="BE58" i="3"/>
  <c r="BD58" i="3"/>
  <c r="B58" i="3"/>
  <c r="BG57" i="3"/>
  <c r="BF57" i="3"/>
  <c r="BE57" i="3"/>
  <c r="BD57" i="3"/>
  <c r="B57" i="3"/>
  <c r="BG56" i="3"/>
  <c r="BF56" i="3"/>
  <c r="BE56" i="3"/>
  <c r="BD56" i="3"/>
  <c r="B56" i="3"/>
  <c r="BG55" i="3"/>
  <c r="BF55" i="3"/>
  <c r="BE55" i="3"/>
  <c r="BD55" i="3"/>
  <c r="B55" i="3"/>
  <c r="BG54" i="3"/>
  <c r="BF54" i="3"/>
  <c r="BE54" i="3"/>
  <c r="BD54" i="3"/>
  <c r="B54" i="3"/>
  <c r="BG53" i="3"/>
  <c r="BF53" i="3"/>
  <c r="BE53" i="3"/>
  <c r="BD53" i="3"/>
  <c r="B53" i="3"/>
  <c r="BG52" i="3"/>
  <c r="BF52" i="3"/>
  <c r="BE52" i="3"/>
  <c r="BD52" i="3"/>
  <c r="B52" i="3"/>
  <c r="BG51" i="3"/>
  <c r="BF51" i="3"/>
  <c r="BE51" i="3"/>
  <c r="BD51" i="3"/>
  <c r="B51" i="3"/>
  <c r="BG50" i="3"/>
  <c r="BF50" i="3"/>
  <c r="BE50" i="3"/>
  <c r="BD50" i="3"/>
  <c r="B50" i="3"/>
  <c r="BG49" i="3"/>
  <c r="BF49" i="3"/>
  <c r="BE49" i="3"/>
  <c r="BD49" i="3"/>
  <c r="B49" i="3"/>
  <c r="BG48" i="3"/>
  <c r="BF48" i="3"/>
  <c r="BE48" i="3"/>
  <c r="BD48" i="3"/>
  <c r="B48" i="3"/>
  <c r="BG47" i="3"/>
  <c r="BF47" i="3"/>
  <c r="BE47" i="3"/>
  <c r="BD47" i="3"/>
  <c r="B47" i="3"/>
  <c r="BG46" i="3"/>
  <c r="BF46" i="3"/>
  <c r="BE46" i="3"/>
  <c r="BD46" i="3"/>
  <c r="B46" i="3"/>
  <c r="BG45" i="3"/>
  <c r="BF45" i="3"/>
  <c r="BE45" i="3"/>
  <c r="BD45" i="3"/>
  <c r="B45" i="3"/>
  <c r="BG44" i="3"/>
  <c r="BF44" i="3"/>
  <c r="BE44" i="3"/>
  <c r="BD44" i="3"/>
  <c r="B44" i="3"/>
  <c r="BG43" i="3"/>
  <c r="BF43" i="3"/>
  <c r="BE43" i="3"/>
  <c r="BD43" i="3"/>
  <c r="B43" i="3"/>
  <c r="BG42" i="3"/>
  <c r="BF42" i="3"/>
  <c r="BE42" i="3"/>
  <c r="BD42" i="3"/>
  <c r="B42" i="3"/>
  <c r="BG41" i="3"/>
  <c r="BF41" i="3"/>
  <c r="BE41" i="3"/>
  <c r="BD41" i="3"/>
  <c r="B41" i="3"/>
  <c r="BG40" i="3"/>
  <c r="BF40" i="3"/>
  <c r="BE40" i="3"/>
  <c r="BD40" i="3"/>
  <c r="B40" i="3"/>
  <c r="BG39" i="3"/>
  <c r="BF39" i="3"/>
  <c r="BE39" i="3"/>
  <c r="BD39" i="3"/>
  <c r="B39" i="3"/>
  <c r="BG38" i="3"/>
  <c r="BF38" i="3"/>
  <c r="BE38" i="3"/>
  <c r="BD38" i="3"/>
  <c r="B38" i="3"/>
  <c r="BG37" i="3"/>
  <c r="BF37" i="3"/>
  <c r="BE37" i="3"/>
  <c r="BD37" i="3"/>
  <c r="B37" i="3"/>
  <c r="BG36" i="3"/>
  <c r="BF36" i="3"/>
  <c r="BE36" i="3"/>
  <c r="BD36" i="3"/>
  <c r="B36" i="3"/>
  <c r="BG35" i="3"/>
  <c r="BF35" i="3"/>
  <c r="BE35" i="3"/>
  <c r="BD35" i="3"/>
  <c r="B35" i="3"/>
  <c r="BG34" i="3"/>
  <c r="BF34" i="3"/>
  <c r="BE34" i="3"/>
  <c r="BD34" i="3"/>
  <c r="B34" i="3"/>
  <c r="BG33" i="3"/>
  <c r="BF33" i="3"/>
  <c r="BE33" i="3"/>
  <c r="BD33" i="3"/>
  <c r="B33" i="3"/>
  <c r="BG32" i="3"/>
  <c r="BF32" i="3"/>
  <c r="BE32" i="3"/>
  <c r="BD32" i="3"/>
  <c r="B32" i="3"/>
  <c r="BG31" i="3"/>
  <c r="BF31" i="3"/>
  <c r="BE31" i="3"/>
  <c r="BD31" i="3"/>
  <c r="B31" i="3"/>
  <c r="BG30" i="3"/>
  <c r="BF30" i="3"/>
  <c r="BE30" i="3"/>
  <c r="BD30" i="3"/>
  <c r="B30" i="3"/>
  <c r="BG29" i="3"/>
  <c r="BF29" i="3"/>
  <c r="BE29" i="3"/>
  <c r="BD29" i="3"/>
  <c r="B29" i="3"/>
  <c r="BG28" i="3"/>
  <c r="BF28" i="3"/>
  <c r="BE28" i="3"/>
  <c r="BD28" i="3"/>
  <c r="B28" i="3"/>
  <c r="BG27" i="3"/>
  <c r="BF27" i="3"/>
  <c r="BE27" i="3"/>
  <c r="BD27" i="3"/>
  <c r="B27" i="3"/>
  <c r="BG26" i="3"/>
  <c r="BF26" i="3"/>
  <c r="BE26" i="3"/>
  <c r="BD26" i="3"/>
  <c r="B26" i="3"/>
  <c r="BG25" i="3"/>
  <c r="BF25" i="3"/>
  <c r="BE25" i="3"/>
  <c r="BD25" i="3"/>
  <c r="B25" i="3"/>
  <c r="BG24" i="3"/>
  <c r="BF24" i="3"/>
  <c r="BE24" i="3"/>
  <c r="BD24" i="3"/>
  <c r="B24" i="3"/>
  <c r="BG23" i="3"/>
  <c r="BF23" i="3"/>
  <c r="BE23" i="3"/>
  <c r="BD23" i="3"/>
  <c r="B23" i="3"/>
  <c r="BG22" i="3"/>
  <c r="BF22" i="3"/>
  <c r="BE22" i="3"/>
  <c r="BD22" i="3"/>
  <c r="B22" i="3"/>
  <c r="BG21" i="3"/>
  <c r="BF21" i="3"/>
  <c r="BE21" i="3"/>
  <c r="BD21" i="3"/>
  <c r="B21" i="3"/>
  <c r="BG20" i="3"/>
  <c r="BF20" i="3"/>
  <c r="BE20" i="3"/>
  <c r="BD20" i="3"/>
  <c r="B20" i="3"/>
  <c r="BG19" i="3"/>
  <c r="BF19" i="3"/>
  <c r="BE19" i="3"/>
  <c r="BD19" i="3"/>
  <c r="B19" i="3"/>
  <c r="BG18" i="3"/>
  <c r="BF18" i="3"/>
  <c r="BE18" i="3"/>
  <c r="BD18" i="3"/>
  <c r="B18" i="3"/>
  <c r="BG17" i="3"/>
  <c r="BF17" i="3"/>
  <c r="BE17" i="3"/>
  <c r="BD17" i="3"/>
  <c r="B17" i="3"/>
  <c r="BG16" i="3"/>
  <c r="BF16" i="3"/>
  <c r="BE16" i="3"/>
  <c r="BD16" i="3"/>
  <c r="B16" i="3"/>
  <c r="BG15" i="3"/>
  <c r="BF15" i="3"/>
  <c r="BE15" i="3"/>
  <c r="BD15" i="3"/>
  <c r="B15" i="3"/>
  <c r="BG14" i="3"/>
  <c r="BF14" i="3"/>
  <c r="BE14" i="3"/>
  <c r="BD14" i="3"/>
  <c r="B14" i="3"/>
  <c r="BG13" i="3"/>
  <c r="BF13" i="3"/>
  <c r="BE13" i="3"/>
  <c r="BD13" i="3"/>
  <c r="B13" i="3"/>
  <c r="BG12" i="3"/>
  <c r="BF12" i="3"/>
  <c r="BE12" i="3"/>
  <c r="BD12" i="3"/>
  <c r="B12" i="3"/>
  <c r="BG11" i="3"/>
  <c r="BF11" i="3"/>
  <c r="BE11" i="3"/>
  <c r="BD11" i="3"/>
  <c r="B11" i="3"/>
  <c r="BG10" i="3"/>
  <c r="BF10" i="3"/>
  <c r="BE10" i="3"/>
  <c r="BD10" i="3"/>
  <c r="B10" i="3"/>
  <c r="BG9" i="3"/>
  <c r="BF9" i="3"/>
  <c r="BE9" i="3"/>
  <c r="BD9" i="3"/>
  <c r="B9" i="3"/>
  <c r="BG8" i="3"/>
  <c r="BF8" i="3"/>
  <c r="BE8" i="3"/>
  <c r="BD8" i="3"/>
  <c r="B8" i="3"/>
  <c r="BD79" i="3" l="1"/>
  <c r="V81" i="3"/>
  <c r="BE79" i="3"/>
  <c r="BF79" i="3"/>
  <c r="BG79" i="3"/>
  <c r="X130" i="1" l="1"/>
  <c r="BI74" i="1" l="1"/>
  <c r="BI128" i="1" s="1"/>
  <c r="BH74" i="1"/>
  <c r="BH128" i="1" s="1"/>
  <c r="BG74" i="1"/>
  <c r="BG128" i="1" s="1"/>
  <c r="BM74" i="1" l="1"/>
  <c r="BM128" i="1" s="1"/>
  <c r="BF74" i="1"/>
  <c r="BF128" i="1" s="1"/>
</calcChain>
</file>

<file path=xl/sharedStrings.xml><?xml version="1.0" encoding="utf-8"?>
<sst xmlns="http://schemas.openxmlformats.org/spreadsheetml/2006/main" count="1235" uniqueCount="325">
  <si>
    <t>NO</t>
  </si>
  <si>
    <t>REGIONAL</t>
  </si>
  <si>
    <t>PROVINCE</t>
  </si>
  <si>
    <t>CITY</t>
  </si>
  <si>
    <t>CHIEF</t>
  </si>
  <si>
    <t>EMR</t>
  </si>
  <si>
    <t>PESIMIS</t>
  </si>
  <si>
    <t>MODERAT</t>
  </si>
  <si>
    <t>OPTIMIS</t>
  </si>
  <si>
    <t>PIC</t>
  </si>
  <si>
    <t>Regional III</t>
  </si>
  <si>
    <t>JATIM</t>
  </si>
  <si>
    <t>Malang</t>
  </si>
  <si>
    <t>Probolinggo</t>
  </si>
  <si>
    <t>Banyuwangi</t>
  </si>
  <si>
    <t>Blitar</t>
  </si>
  <si>
    <t>Jember</t>
  </si>
  <si>
    <t>Kediri</t>
  </si>
  <si>
    <t>Ponorogo</t>
  </si>
  <si>
    <t>Sidoarjo</t>
  </si>
  <si>
    <t>Surabaya</t>
  </si>
  <si>
    <t>Bangkalan</t>
  </si>
  <si>
    <t>Madiun</t>
  </si>
  <si>
    <t>Tulungagung</t>
  </si>
  <si>
    <t>Bojonegoro</t>
  </si>
  <si>
    <t>Gresik</t>
  </si>
  <si>
    <t>Jombang</t>
  </si>
  <si>
    <t>Pasuruan</t>
  </si>
  <si>
    <t>Lumajang</t>
  </si>
  <si>
    <t>IWAN</t>
  </si>
  <si>
    <t>TOTAL</t>
  </si>
  <si>
    <t>JATENG</t>
  </si>
  <si>
    <t>Pekalongan</t>
  </si>
  <si>
    <t>ANDAN</t>
  </si>
  <si>
    <t>Tegal</t>
  </si>
  <si>
    <t>Brebes</t>
  </si>
  <si>
    <t>Pemalang</t>
  </si>
  <si>
    <t>Jepara</t>
  </si>
  <si>
    <t>Semarang</t>
  </si>
  <si>
    <t>Kudus</t>
  </si>
  <si>
    <t>Pati</t>
  </si>
  <si>
    <t>Demak</t>
  </si>
  <si>
    <t>Klaten</t>
  </si>
  <si>
    <t>DIY</t>
  </si>
  <si>
    <t>Sleman</t>
  </si>
  <si>
    <t>Temanggung</t>
  </si>
  <si>
    <t>Purworejo</t>
  </si>
  <si>
    <t>Kebumen</t>
  </si>
  <si>
    <t>Wonosobo</t>
  </si>
  <si>
    <t>Banjarnegara</t>
  </si>
  <si>
    <t>Sragen</t>
  </si>
  <si>
    <t>Row Labels</t>
  </si>
  <si>
    <t>Grand Total</t>
  </si>
  <si>
    <t xml:space="preserve"> PESIMIS</t>
  </si>
  <si>
    <t xml:space="preserve"> MODERAT</t>
  </si>
  <si>
    <t xml:space="preserve"> OPTIMIS</t>
  </si>
  <si>
    <t>KETERANGAN</t>
  </si>
  <si>
    <t>TKM</t>
  </si>
  <si>
    <t>REKAP TARGET RFS - PROJECT MYREP TAHUN 2026</t>
  </si>
  <si>
    <t>PT. TECHNOLOGY KARYA MANDIRI</t>
  </si>
  <si>
    <t>Nganjuk</t>
  </si>
  <si>
    <t>Tuban</t>
  </si>
  <si>
    <t>ERRY</t>
  </si>
  <si>
    <t>REGIONAL I</t>
  </si>
  <si>
    <t>REGIONAL II</t>
  </si>
  <si>
    <t>REGIONAL IV</t>
  </si>
  <si>
    <t>REGIONAL V</t>
  </si>
  <si>
    <t>Aceh</t>
  </si>
  <si>
    <t>Langsa</t>
  </si>
  <si>
    <t>Lhokseumawe</t>
  </si>
  <si>
    <t>Jambi</t>
  </si>
  <si>
    <t>SUMSEL</t>
  </si>
  <si>
    <t>Lubuklinggau</t>
  </si>
  <si>
    <t>Palembang</t>
  </si>
  <si>
    <t>Prabumulih</t>
  </si>
  <si>
    <t>Lampung</t>
  </si>
  <si>
    <t>Cilegon</t>
  </si>
  <si>
    <t>Pandeglang</t>
  </si>
  <si>
    <t>Rangkasbitung</t>
  </si>
  <si>
    <t>Serang</t>
  </si>
  <si>
    <t>Jakarta Barat</t>
  </si>
  <si>
    <t>Jakarta Selatan</t>
  </si>
  <si>
    <t>Jakarta Timur</t>
  </si>
  <si>
    <t>Bandung</t>
  </si>
  <si>
    <t>Bekasi</t>
  </si>
  <si>
    <t>Bogor</t>
  </si>
  <si>
    <t>Cibubur</t>
  </si>
  <si>
    <t>Kupang</t>
  </si>
  <si>
    <t>Pontianak</t>
  </si>
  <si>
    <t>Singkawang</t>
  </si>
  <si>
    <t>Banjarmasin</t>
  </si>
  <si>
    <t>Kotawaringin Barat</t>
  </si>
  <si>
    <t>Palangkaraya</t>
  </si>
  <si>
    <t>Balikpapan</t>
  </si>
  <si>
    <t>Kutai Kartanegara</t>
  </si>
  <si>
    <t>Samarinda</t>
  </si>
  <si>
    <t>Gorontalo</t>
  </si>
  <si>
    <t>Bone</t>
  </si>
  <si>
    <t>Makassar</t>
  </si>
  <si>
    <t>Parepare</t>
  </si>
  <si>
    <t>Bitung</t>
  </si>
  <si>
    <t>Manado</t>
  </si>
  <si>
    <t>ACEH</t>
  </si>
  <si>
    <t>BANTEN</t>
  </si>
  <si>
    <t>DKI JAKARTA</t>
  </si>
  <si>
    <t>GORONTALO</t>
  </si>
  <si>
    <t>JAMBI</t>
  </si>
  <si>
    <t>JABAR</t>
  </si>
  <si>
    <t>KALBAR</t>
  </si>
  <si>
    <t>KALSEL</t>
  </si>
  <si>
    <t>KALTENG</t>
  </si>
  <si>
    <t>KALTIM</t>
  </si>
  <si>
    <t>LAMPUNG</t>
  </si>
  <si>
    <t>NTT</t>
  </si>
  <si>
    <t>SULSEL</t>
  </si>
  <si>
    <t>SULUT</t>
  </si>
  <si>
    <t>Zulkarnain</t>
  </si>
  <si>
    <t>Albert</t>
  </si>
  <si>
    <t>Puji</t>
  </si>
  <si>
    <t>REGIONAL III</t>
  </si>
  <si>
    <t>Polewali Mandar</t>
  </si>
  <si>
    <t>Kotamobagu</t>
  </si>
  <si>
    <t>APRIL</t>
  </si>
  <si>
    <t>JANUARI</t>
  </si>
  <si>
    <t>FEBRUARI</t>
  </si>
  <si>
    <t>MARET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</si>
  <si>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</si>
  <si>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</si>
  <si>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</si>
  <si>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</si>
  <si>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</si>
  <si>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</si>
  <si>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</si>
  <si>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</si>
  <si>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TARGET</t>
  </si>
  <si>
    <t>REALISASI</t>
  </si>
  <si>
    <t>GRAND TOTAL</t>
  </si>
  <si>
    <t>Jakarta Utara</t>
  </si>
  <si>
    <t>TARGET TKM</t>
  </si>
  <si>
    <t>Dimas</t>
  </si>
  <si>
    <t>SUMUT</t>
  </si>
  <si>
    <t>SUMBAR</t>
  </si>
  <si>
    <t>RIAU</t>
  </si>
  <si>
    <t>SULTENG</t>
  </si>
  <si>
    <t>BENGKULU</t>
  </si>
  <si>
    <t>SULTRA</t>
  </si>
  <si>
    <t>BALI</t>
  </si>
  <si>
    <t>NTB</t>
  </si>
  <si>
    <t>KEPRI</t>
  </si>
  <si>
    <t>RPM</t>
  </si>
  <si>
    <t>SM</t>
  </si>
  <si>
    <t>SPV</t>
  </si>
  <si>
    <t>Ronny</t>
  </si>
  <si>
    <t>Taufik</t>
  </si>
  <si>
    <t>Ulil</t>
  </si>
  <si>
    <t>Syahputra</t>
  </si>
  <si>
    <t>Aswadi</t>
  </si>
  <si>
    <t>Nazar</t>
  </si>
  <si>
    <t>Wawan</t>
  </si>
  <si>
    <t>Fickri</t>
  </si>
  <si>
    <t>Fadli</t>
  </si>
  <si>
    <t>Dicky</t>
  </si>
  <si>
    <t>Restu</t>
  </si>
  <si>
    <t>Robby</t>
  </si>
  <si>
    <t>Fredy</t>
  </si>
  <si>
    <t>Arivandi</t>
  </si>
  <si>
    <t>HO</t>
  </si>
  <si>
    <t>Choirul</t>
  </si>
  <si>
    <t>Nurtresna</t>
  </si>
  <si>
    <t>Bugi</t>
  </si>
  <si>
    <t>Aris Effendi</t>
  </si>
  <si>
    <t>Irfan</t>
  </si>
  <si>
    <t>Sunarto</t>
  </si>
  <si>
    <t>Widodo</t>
  </si>
  <si>
    <t>Nurma</t>
  </si>
  <si>
    <t>Ngadi</t>
  </si>
  <si>
    <t>Zakariya</t>
  </si>
  <si>
    <t>Subowo</t>
  </si>
  <si>
    <t>Sri</t>
  </si>
  <si>
    <t>Isnandi</t>
  </si>
  <si>
    <t>Oslo</t>
  </si>
  <si>
    <t>Maladi</t>
  </si>
  <si>
    <t>Arpansyah</t>
  </si>
  <si>
    <t>Rahmad</t>
  </si>
  <si>
    <t>Dwinanto</t>
  </si>
  <si>
    <t>Agus Santoso</t>
  </si>
  <si>
    <t>Anugrah</t>
  </si>
  <si>
    <t>Wilhemus</t>
  </si>
  <si>
    <t>Nando</t>
  </si>
  <si>
    <t>Aan</t>
  </si>
  <si>
    <t>Fauzan</t>
  </si>
  <si>
    <t>Diran</t>
  </si>
  <si>
    <t>Adrian</t>
  </si>
  <si>
    <t>Roberto</t>
  </si>
  <si>
    <t>Alvo</t>
  </si>
  <si>
    <t>Aris Agusti</t>
  </si>
  <si>
    <t>Arif</t>
  </si>
  <si>
    <t>Dita</t>
  </si>
  <si>
    <t>Sukardanu</t>
  </si>
  <si>
    <t>Hisyam</t>
  </si>
  <si>
    <t>Dwi Mahandi</t>
  </si>
  <si>
    <t>Arjun</t>
  </si>
  <si>
    <t>Yuliana</t>
  </si>
  <si>
    <t>Erry</t>
  </si>
  <si>
    <t>Supriyatno</t>
  </si>
  <si>
    <t>Sudarmono</t>
  </si>
  <si>
    <t>Budhi</t>
  </si>
  <si>
    <t>Agus</t>
  </si>
  <si>
    <t>Fazri</t>
  </si>
  <si>
    <t>Musnin</t>
  </si>
  <si>
    <t>Dandi</t>
  </si>
  <si>
    <t>MALANG</t>
  </si>
  <si>
    <t>PROBOLINGGO</t>
  </si>
  <si>
    <t>BANYUWANGI</t>
  </si>
  <si>
    <t>BLITAR</t>
  </si>
  <si>
    <t>JEMBER</t>
  </si>
  <si>
    <t>KEDIRI</t>
  </si>
  <si>
    <t>PONOROGO</t>
  </si>
  <si>
    <t>SIDOARJO</t>
  </si>
  <si>
    <t>SURABAYA</t>
  </si>
  <si>
    <t>BANGKALAN</t>
  </si>
  <si>
    <t>MADIUN</t>
  </si>
  <si>
    <t>TULUNGAGUNG</t>
  </si>
  <si>
    <t>BOJONEGORO</t>
  </si>
  <si>
    <t>JOMBANG</t>
  </si>
  <si>
    <t>PASURUAN</t>
  </si>
  <si>
    <t>NGANJUK</t>
  </si>
  <si>
    <t>TUBAN</t>
  </si>
  <si>
    <t>PEKALONGAN</t>
  </si>
  <si>
    <t>TEGAL</t>
  </si>
  <si>
    <t>BREBES</t>
  </si>
  <si>
    <t>PEMALANG</t>
  </si>
  <si>
    <t>JEPARA</t>
  </si>
  <si>
    <t>SEMARANG</t>
  </si>
  <si>
    <t>KUDUS</t>
  </si>
  <si>
    <t>PATI</t>
  </si>
  <si>
    <t>DEMAK</t>
  </si>
  <si>
    <t>KLATEN</t>
  </si>
  <si>
    <t>SLEMAN</t>
  </si>
  <si>
    <t>TEMANGGUNG</t>
  </si>
  <si>
    <t>PURWOREJO</t>
  </si>
  <si>
    <t>KEBUMEN</t>
  </si>
  <si>
    <t>WONOSOBO</t>
  </si>
  <si>
    <t>BANJARNEGARA</t>
  </si>
  <si>
    <t>SRAGEN</t>
  </si>
  <si>
    <t>LANGSA</t>
  </si>
  <si>
    <t>LHOKSEUMAWE</t>
  </si>
  <si>
    <t>LUBUKLINGGAU</t>
  </si>
  <si>
    <t>PALEMBANG</t>
  </si>
  <si>
    <t>PRABUMULIH</t>
  </si>
  <si>
    <t>CILEGON</t>
  </si>
  <si>
    <t>PANDEGLANG</t>
  </si>
  <si>
    <t>RANGKASBITUNG</t>
  </si>
  <si>
    <t>SERANG</t>
  </si>
  <si>
    <t>JAKARTA BARAT</t>
  </si>
  <si>
    <t>JAKARTA SELATAN</t>
  </si>
  <si>
    <t>JAKARTA UTARA</t>
  </si>
  <si>
    <t>JAKARTA TIMUR</t>
  </si>
  <si>
    <t>BANDUNG</t>
  </si>
  <si>
    <t>BEKASI</t>
  </si>
  <si>
    <t>BOGOR</t>
  </si>
  <si>
    <t>CIBUBUR</t>
  </si>
  <si>
    <t>KUPANG</t>
  </si>
  <si>
    <t>PONTIANAK</t>
  </si>
  <si>
    <t>SINGKAWANG</t>
  </si>
  <si>
    <t>BANJARMASIN</t>
  </si>
  <si>
    <t>KOTAWARINGIN BARAT</t>
  </si>
  <si>
    <t>PALANGKARAYA</t>
  </si>
  <si>
    <t>BALIKPAPAN</t>
  </si>
  <si>
    <t>KUTAI KARTANEGARA</t>
  </si>
  <si>
    <t>SAMARINDA</t>
  </si>
  <si>
    <t>BONE</t>
  </si>
  <si>
    <t>MAKASSAR</t>
  </si>
  <si>
    <t>PAREPARE</t>
  </si>
  <si>
    <t>POLEWALI MANDAR</t>
  </si>
  <si>
    <t>BITUNG</t>
  </si>
  <si>
    <t>MANADO</t>
  </si>
  <si>
    <t>TEBING TINGGI</t>
  </si>
  <si>
    <t>PAYAKUMBUH</t>
  </si>
  <si>
    <t>PEKANBARU</t>
  </si>
  <si>
    <t>PALU</t>
  </si>
  <si>
    <t>KENDARI</t>
  </si>
  <si>
    <t>BOYOLALI</t>
  </si>
  <si>
    <t>PADANG</t>
  </si>
  <si>
    <t>KENDAL</t>
  </si>
  <si>
    <t>MOJOKERTO</t>
  </si>
  <si>
    <t>SALATIGA</t>
  </si>
  <si>
    <t>PURWAKARTA</t>
  </si>
  <si>
    <t>GRESIK</t>
  </si>
  <si>
    <t>CILACAP</t>
  </si>
  <si>
    <t>DEPOK</t>
  </si>
  <si>
    <t>MAGELANG</t>
  </si>
  <si>
    <t>SOLO</t>
  </si>
  <si>
    <t>PURWOKERTO</t>
  </si>
  <si>
    <t>BUKITTINGGI</t>
  </si>
  <si>
    <t>SUBANG</t>
  </si>
  <si>
    <t>MUSI BANYUASIN</t>
  </si>
  <si>
    <t>CIREBON</t>
  </si>
  <si>
    <t>SUMEDANG</t>
  </si>
  <si>
    <t>MUARA ENIM</t>
  </si>
  <si>
    <t>MEDAN</t>
  </si>
  <si>
    <t>TANGERANG</t>
  </si>
  <si>
    <t>GARUT</t>
  </si>
  <si>
    <t>MAJALENGKA</t>
  </si>
  <si>
    <t>PEMATANG SIANTAR</t>
  </si>
  <si>
    <t>MATARAM</t>
  </si>
  <si>
    <t>BATAM</t>
  </si>
  <si>
    <t>CIANJUR</t>
  </si>
  <si>
    <t>JAKARTA PUSAT</t>
  </si>
  <si>
    <t>SUKABUMI</t>
  </si>
  <si>
    <t>DUMAI</t>
  </si>
  <si>
    <t>CIAMIS</t>
  </si>
  <si>
    <t>NGAWI</t>
  </si>
  <si>
    <t>TASIKMALAYA</t>
  </si>
  <si>
    <t>CEPU</t>
  </si>
  <si>
    <t>OGAN KOMERING ILIR</t>
  </si>
  <si>
    <t>LAHAT</t>
  </si>
  <si>
    <t>SIAK</t>
  </si>
  <si>
    <t>BONTANG</t>
  </si>
  <si>
    <t>BENGKALIS</t>
  </si>
  <si>
    <t>KARO</t>
  </si>
  <si>
    <t>LANGKAT</t>
  </si>
  <si>
    <t>PADANG PARIAMAN</t>
  </si>
  <si>
    <t>BELU (ATAMBUA)</t>
  </si>
  <si>
    <t>KOTA KOTAMOBAGU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</si>
</sst>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165" fontId="0" fillId="0" borderId="0" xfId="1" applyNumberFormat="1" applyFont="1"/>
    <xf numFmtId="165" fontId="0" fillId="0" borderId="0" xfId="1" applyNumberFormat="1" applyFont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 readingOrder="1"/>
    </xf>
    <xf numFmtId="3" fontId="4" fillId="0" borderId="1" xfId="0" applyNumberFormat="1" applyFont="1" applyBorder="1" applyAlignment="1">
      <alignment horizontal="center" vertical="center" wrapText="1" readingOrder="1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0" fontId="0" fillId="0" borderId="0" xfId="0" applyAlignment="1">
      <alignment horizontal="left" indent="2"/>
    </xf>
    <xf numFmtId="0" fontId="0" fillId="0" borderId="0" xfId="0" pivotButton="1" applyAlignment="1">
      <alignment horizontal="center" vertical="center" wrapText="1"/>
    </xf>
    <xf numFmtId="0" fontId="6" fillId="0" borderId="0" xfId="0" applyFont="1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readingOrder="1"/>
    </xf>
    <xf numFmtId="165" fontId="4" fillId="0" borderId="1" xfId="1" applyNumberFormat="1" applyFont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readingOrder="1"/>
    </xf>
    <xf numFmtId="0" fontId="4" fillId="4" borderId="1" xfId="0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readingOrder="1"/>
    </xf>
    <xf numFmtId="165" fontId="4" fillId="0" borderId="1" xfId="1" applyNumberFormat="1" applyFont="1" applyBorder="1" applyAlignment="1">
      <alignment horizontal="center" vertical="center" readingOrder="1"/>
    </xf>
    <xf numFmtId="165" fontId="3" fillId="3" borderId="1" xfId="1" applyNumberFormat="1" applyFont="1" applyFill="1" applyBorder="1" applyAlignment="1">
      <alignment horizontal="center" vertical="center" readingOrder="1"/>
    </xf>
    <xf numFmtId="9" fontId="0" fillId="0" borderId="0" xfId="2" applyFont="1"/>
    <xf numFmtId="0" fontId="7" fillId="0" borderId="0" xfId="0" applyFont="1"/>
    <xf numFmtId="165" fontId="7" fillId="0" borderId="0" xfId="1" applyNumberFormat="1" applyFont="1"/>
    <xf numFmtId="0" fontId="8" fillId="0" borderId="1" xfId="0" applyFont="1" applyBorder="1" applyAlignment="1">
      <alignment horizontal="center" vertical="center" readingOrder="1"/>
    </xf>
    <xf numFmtId="0" fontId="5" fillId="3" borderId="1" xfId="0" applyFont="1" applyFill="1" applyBorder="1" applyAlignment="1">
      <alignment horizontal="center" vertical="center" readingOrder="1"/>
    </xf>
    <xf numFmtId="165" fontId="3" fillId="0" borderId="1" xfId="1" applyNumberFormat="1" applyFont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5" fillId="2" borderId="5" xfId="0" applyFont="1" applyFill="1" applyBorder="1" applyAlignment="1">
      <alignment horizontal="center" vertical="center" wrapText="1" readingOrder="1"/>
    </xf>
    <xf numFmtId="0" fontId="5" fillId="2" borderId="6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5" fillId="2" borderId="7" xfId="0" applyFont="1" applyFill="1" applyBorder="1" applyAlignment="1">
      <alignment horizontal="center" vertical="center" wrapText="1" readingOrder="1"/>
    </xf>
  </cellXfs>
  <cellStyles count="3">
    <cellStyle name="Comma" xfId="1" builtinId="3"/>
    <cellStyle name="Normal" xfId="0" builtinId="0"/>
    <cellStyle name="Percent" xfId="2" builtinId="5"/>
  </cellStyles>
  <dxfs count="8">
    <dxf>
      <fill>
        <patternFill>
          <bgColor theme="5" tint="0.59996337778862885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usk" refreshedDate="46108.752268518518" createdVersion="8" refreshedVersion="8" minRefreshableVersion="3" recordCount="34" xr:uid="{B37D67E7-7143-4FC8-96A8-B6CD6014F66D}">
  <cacheSource type="worksheet">
    <worksheetSource ref="C5:BL42" sheet="FORCASE"/>
  </cacheSource>
  <cacheFields count="23">
    <cacheField name="REGIONAL" numFmtId="0">
      <sharedItems count="1">
        <s v="Regional III"/>
      </sharedItems>
    </cacheField>
    <cacheField name="PROVINCE" numFmtId="0">
      <sharedItems count="3">
        <s v="JATIM"/>
        <s v="JATENG"/>
        <s v="DIY"/>
      </sharedItems>
    </cacheField>
    <cacheField name="CITY" numFmtId="0">
      <sharedItems count="34">
        <s v="Malang"/>
        <s v="Probolinggo"/>
        <s v="Banyuwangi"/>
        <s v="Blitar"/>
        <s v="Jember"/>
        <s v="Kediri"/>
        <s v="Ponorogo"/>
        <s v="Sidoarjo"/>
        <s v="Surabaya"/>
        <s v="Bangkalan"/>
        <s v="Madiun"/>
        <s v="Tulungagung"/>
        <s v="Bojonegoro"/>
        <s v="Gresik"/>
        <s v="Jombang"/>
        <s v="Pasuruan"/>
        <s v="Lumajang"/>
        <s v="Pekalongan"/>
        <s v="Tegal"/>
        <s v="Brebes"/>
        <s v="Pemalang"/>
        <s v="Jepara"/>
        <s v="Semarang"/>
        <s v="Kudus"/>
        <s v="Pati"/>
        <s v="Demak"/>
        <s v="Klaten"/>
        <s v="Sleman"/>
        <s v="Temanggung"/>
        <s v="Purworejo"/>
        <s v="Kebumen"/>
        <s v="Wonosobo"/>
        <s v="Banjarnegara"/>
        <s v="Sragen"/>
      </sharedItems>
    </cacheField>
    <cacheField name="CHIEF" numFmtId="0">
      <sharedItems/>
    </cacheField>
    <cacheField name="TEAM LEADER" numFmtId="0">
      <sharedItems containsBlank="1"/>
    </cacheField>
    <cacheField name="BRANCH MANAGER" numFmtId="0">
      <sharedItems containsBlank="1"/>
    </cacheField>
    <cacheField name="SITE MANAGER" numFmtId="0">
      <sharedItems/>
    </cacheField>
    <cacheField name="SUPERVISOR" numFmtId="0">
      <sharedItems containsBlank="1"/>
    </cacheField>
    <cacheField name="ADMIN" numFmtId="0">
      <sharedItems containsBlank="1"/>
    </cacheField>
    <cacheField name="PERMIT" numFmtId="0">
      <sharedItems containsBlank="1"/>
    </cacheField>
    <cacheField name="EMR" numFmtId="3">
      <sharedItems containsSemiMixedTypes="0" containsString="0" containsNumber="1" containsInteger="1" minValue="18000" maxValue="96000"/>
    </cacheField>
    <cacheField name="AREA" numFmtId="3">
      <sharedItems containsString="0" containsBlank="1" containsNumber="1" containsInteger="1" minValue="5000" maxValue="22000"/>
    </cacheField>
    <cacheField name="PESIMIS" numFmtId="3">
      <sharedItems containsString="0" containsBlank="1" containsNumber="1" containsInteger="1" minValue="10000" maxValue="35000"/>
    </cacheField>
    <cacheField name="MODERAT" numFmtId="3">
      <sharedItems containsString="0" containsBlank="1" containsNumber="1" containsInteger="1" minValue="5000" maxValue="25000"/>
    </cacheField>
    <cacheField name="OPTIMIS" numFmtId="3">
      <sharedItems containsString="0" containsBlank="1" containsNumber="1" containsInteger="1" minValue="5000" maxValue="23000"/>
    </cacheField>
    <cacheField name="PRIORITAS" numFmtId="3">
      <sharedItems count="3">
        <s v="P2"/>
        <s v="P1"/>
        <s v="P3"/>
      </sharedItems>
    </cacheField>
    <cacheField name="NTP" numFmtId="165">
      <sharedItems containsSemiMixedTypes="0" containsString="0" containsNumber="1" containsInteger="1" minValue="0" maxValue="64022"/>
    </cacheField>
    <cacheField name="MARET - MEI" numFmtId="165">
      <sharedItems containsSemiMixedTypes="0" containsString="0" containsNumber="1" containsInteger="1" minValue="0" maxValue="6000"/>
    </cacheField>
    <cacheField name="JUNI - AGUSTUS" numFmtId="165">
      <sharedItems containsSemiMixedTypes="0" containsString="0" containsNumber="1" containsInteger="1" minValue="0" maxValue="9000"/>
    </cacheField>
    <cacheField name="SEPTEMBER - OKTOBER" numFmtId="165">
      <sharedItems containsSemiMixedTypes="0" containsString="0" containsNumber="1" containsInteger="1" minValue="0" maxValue="7000"/>
    </cacheField>
    <cacheField name="TIM" numFmtId="165">
      <sharedItems containsString="0" containsBlank="1" containsNumber="1" containsInteger="1" minValue="1" maxValue="3"/>
    </cacheField>
    <cacheField name="STATUS TIM" numFmtId="3">
      <sharedItems containsBlank="1"/>
    </cacheField>
    <cacheField name="PIC" numFmtId="3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x v="0"/>
    <x v="0"/>
    <s v="IWAN"/>
    <s v="FAHRUL"/>
    <m/>
    <s v="AGUSTI"/>
    <m/>
    <m/>
    <m/>
    <n v="66000"/>
    <n v="10000"/>
    <n v="10000"/>
    <n v="7000"/>
    <n v="5000"/>
    <x v="0"/>
    <n v="10740"/>
    <n v="3000"/>
    <n v="4000"/>
    <n v="3000"/>
    <m/>
    <s v="ON SITE"/>
    <s v="MITRA"/>
  </r>
  <r>
    <x v="0"/>
    <x v="0"/>
    <x v="1"/>
    <s v="IWAN"/>
    <s v="FAHRUL"/>
    <m/>
    <s v="AGUSTI"/>
    <m/>
    <m/>
    <m/>
    <n v="24000"/>
    <n v="10000"/>
    <n v="20000"/>
    <n v="15000"/>
    <n v="10000"/>
    <x v="1"/>
    <n v="8027"/>
    <n v="3000"/>
    <n v="4000"/>
    <n v="3000"/>
    <m/>
    <s v="ON SITE"/>
    <s v="MITRA"/>
  </r>
  <r>
    <x v="0"/>
    <x v="0"/>
    <x v="2"/>
    <s v="IWAN"/>
    <s v="FAHRUL"/>
    <m/>
    <s v="AGUSTI"/>
    <m/>
    <m/>
    <m/>
    <n v="36000"/>
    <n v="10000"/>
    <n v="15000"/>
    <n v="10000"/>
    <n v="5000"/>
    <x v="1"/>
    <n v="9122"/>
    <n v="3000"/>
    <n v="4000"/>
    <n v="3000"/>
    <m/>
    <s v="NY"/>
    <m/>
  </r>
  <r>
    <x v="0"/>
    <x v="0"/>
    <x v="3"/>
    <s v="IWAN"/>
    <s v="FAHRUL"/>
    <s v="SUKRON"/>
    <s v="AGUSTI"/>
    <s v="SUKARDANU"/>
    <s v="PENGKY"/>
    <m/>
    <n v="36000"/>
    <n v="20000"/>
    <n v="30000"/>
    <n v="20000"/>
    <n v="15000"/>
    <x v="1"/>
    <n v="64022"/>
    <n v="6000"/>
    <n v="8000"/>
    <n v="6000"/>
    <n v="3"/>
    <s v="ON SITE"/>
    <s v="SWK"/>
  </r>
  <r>
    <x v="0"/>
    <x v="0"/>
    <x v="4"/>
    <s v="IWAN"/>
    <s v="FAHRUL"/>
    <m/>
    <s v="AGUSTI"/>
    <m/>
    <m/>
    <m/>
    <n v="36000"/>
    <n v="10000"/>
    <n v="20000"/>
    <n v="15000"/>
    <n v="10000"/>
    <x v="1"/>
    <n v="13868"/>
    <n v="3000"/>
    <n v="4000"/>
    <n v="3000"/>
    <m/>
    <s v="ON SITE"/>
    <s v="MITRA"/>
  </r>
  <r>
    <x v="0"/>
    <x v="0"/>
    <x v="5"/>
    <s v="IWAN"/>
    <s v="FAHRUL"/>
    <m/>
    <s v="AGUSTI"/>
    <m/>
    <m/>
    <m/>
    <n v="30000"/>
    <n v="10000"/>
    <n v="15000"/>
    <n v="10000"/>
    <n v="10000"/>
    <x v="1"/>
    <n v="22533"/>
    <n v="3000"/>
    <n v="4000"/>
    <n v="3000"/>
    <m/>
    <s v="ON SITE"/>
    <s v="MITRA"/>
  </r>
  <r>
    <x v="0"/>
    <x v="0"/>
    <x v="6"/>
    <s v="IWAN"/>
    <s v="FAHRUL"/>
    <m/>
    <s v="AGUSTI"/>
    <s v="ARJUN"/>
    <m/>
    <s v="ADE"/>
    <n v="18000"/>
    <n v="16000"/>
    <n v="10000"/>
    <n v="8000"/>
    <n v="5000"/>
    <x v="0"/>
    <n v="8407"/>
    <n v="5000"/>
    <n v="6000"/>
    <n v="5000"/>
    <n v="1"/>
    <s v="ON SITE"/>
    <s v="SWK"/>
  </r>
  <r>
    <x v="0"/>
    <x v="0"/>
    <x v="7"/>
    <s v="IWAN"/>
    <s v="MAHBUB"/>
    <m/>
    <s v="AGUSTI"/>
    <m/>
    <m/>
    <m/>
    <n v="96000"/>
    <n v="10000"/>
    <n v="30000"/>
    <n v="20000"/>
    <n v="10000"/>
    <x v="1"/>
    <n v="9290"/>
    <n v="3000"/>
    <n v="4000"/>
    <n v="3000"/>
    <m/>
    <s v="ON SITE"/>
    <s v="MITRA"/>
  </r>
  <r>
    <x v="0"/>
    <x v="0"/>
    <x v="8"/>
    <s v="IWAN"/>
    <s v="MAHBUB"/>
    <m/>
    <s v="AGUSTI"/>
    <m/>
    <m/>
    <m/>
    <n v="96000"/>
    <n v="10000"/>
    <n v="30000"/>
    <n v="20000"/>
    <n v="10000"/>
    <x v="1"/>
    <n v="6872"/>
    <n v="3000"/>
    <n v="4000"/>
    <n v="3000"/>
    <m/>
    <s v="NY"/>
    <m/>
  </r>
  <r>
    <x v="0"/>
    <x v="0"/>
    <x v="9"/>
    <s v="IWAN"/>
    <s v="MAHBUB"/>
    <m/>
    <s v="AGUSTI"/>
    <m/>
    <m/>
    <m/>
    <n v="24000"/>
    <n v="7500"/>
    <n v="15000"/>
    <n v="10000"/>
    <n v="5000"/>
    <x v="0"/>
    <n v="3088"/>
    <n v="3000"/>
    <n v="4000"/>
    <n v="3000"/>
    <m/>
    <s v="ON SITE"/>
    <s v="MITRA"/>
  </r>
  <r>
    <x v="0"/>
    <x v="0"/>
    <x v="10"/>
    <s v="IWAN"/>
    <s v="WIGNYO"/>
    <m/>
    <s v="AGUSTI"/>
    <s v="SUPRIYATNO"/>
    <s v="RIO"/>
    <m/>
    <n v="30000"/>
    <n v="16000"/>
    <n v="20000"/>
    <n v="15000"/>
    <n v="10000"/>
    <x v="1"/>
    <n v="6140"/>
    <n v="6000"/>
    <n v="6000"/>
    <n v="4000"/>
    <n v="2"/>
    <s v="ON SITE"/>
    <s v="SWK"/>
  </r>
  <r>
    <x v="0"/>
    <x v="0"/>
    <x v="11"/>
    <s v="IWAN"/>
    <s v="WIGNYO"/>
    <m/>
    <s v="AGUSTI"/>
    <m/>
    <m/>
    <m/>
    <n v="18000"/>
    <n v="10000"/>
    <n v="10000"/>
    <n v="5000"/>
    <n v="5000"/>
    <x v="0"/>
    <n v="24169"/>
    <n v="3000"/>
    <n v="4000"/>
    <n v="3000"/>
    <m/>
    <s v="ON SITE"/>
    <s v="MITRA"/>
  </r>
  <r>
    <x v="0"/>
    <x v="0"/>
    <x v="12"/>
    <s v="IWAN"/>
    <s v="YORDA"/>
    <m/>
    <s v="AGUSTI"/>
    <s v="BUDI NUGROHO"/>
    <m/>
    <m/>
    <n v="36000"/>
    <n v="12000"/>
    <n v="20000"/>
    <n v="15000"/>
    <n v="10000"/>
    <x v="1"/>
    <n v="18363"/>
    <n v="4000"/>
    <n v="5000"/>
    <n v="3000"/>
    <n v="3"/>
    <s v="ON SITE"/>
    <s v="SWK"/>
  </r>
  <r>
    <x v="0"/>
    <x v="0"/>
    <x v="13"/>
    <s v="IWAN"/>
    <m/>
    <m/>
    <s v="AGUSTI"/>
    <m/>
    <m/>
    <m/>
    <n v="40800"/>
    <n v="5000"/>
    <m/>
    <m/>
    <m/>
    <x v="2"/>
    <n v="0"/>
    <n v="1500"/>
    <n v="2000"/>
    <n v="1500"/>
    <m/>
    <s v="NY"/>
    <m/>
  </r>
  <r>
    <x v="0"/>
    <x v="0"/>
    <x v="14"/>
    <s v="IWAN"/>
    <s v="FAHRUL"/>
    <m/>
    <s v="AGUSTI"/>
    <m/>
    <m/>
    <m/>
    <n v="24000"/>
    <n v="10000"/>
    <m/>
    <m/>
    <m/>
    <x v="2"/>
    <n v="458"/>
    <n v="3000"/>
    <n v="4000"/>
    <n v="3000"/>
    <m/>
    <s v="ON SITE"/>
    <s v="MITRA"/>
  </r>
  <r>
    <x v="0"/>
    <x v="0"/>
    <x v="15"/>
    <s v="IWAN"/>
    <s v="FAHRUL"/>
    <m/>
    <s v="AGUSTI"/>
    <m/>
    <m/>
    <m/>
    <n v="24000"/>
    <n v="5000"/>
    <m/>
    <m/>
    <m/>
    <x v="2"/>
    <n v="0"/>
    <n v="1500"/>
    <n v="2000"/>
    <n v="1500"/>
    <m/>
    <s v="NY"/>
    <m/>
  </r>
  <r>
    <x v="0"/>
    <x v="0"/>
    <x v="16"/>
    <s v="IWAN"/>
    <m/>
    <m/>
    <s v="AGUSTI"/>
    <m/>
    <m/>
    <m/>
    <n v="24000"/>
    <n v="7500"/>
    <m/>
    <m/>
    <m/>
    <x v="2"/>
    <n v="0"/>
    <n v="2250"/>
    <n v="3000"/>
    <n v="2250"/>
    <m/>
    <s v="NY"/>
    <m/>
  </r>
  <r>
    <x v="0"/>
    <x v="1"/>
    <x v="17"/>
    <s v="ANDAN"/>
    <s v="TRI FAJAR"/>
    <m/>
    <s v="ARIS EFFENDI"/>
    <s v="IRFAN"/>
    <m/>
    <m/>
    <n v="60000"/>
    <n v="15000"/>
    <n v="30000"/>
    <n v="20000"/>
    <n v="15000"/>
    <x v="1"/>
    <n v="16785"/>
    <n v="4500"/>
    <n v="6000"/>
    <n v="4500"/>
    <m/>
    <s v="ON SITE"/>
    <s v="MITRA"/>
  </r>
  <r>
    <x v="0"/>
    <x v="1"/>
    <x v="18"/>
    <s v="ANDAN"/>
    <s v="TRI FAJAR"/>
    <m/>
    <s v="ARIS EFFENDI"/>
    <s v="IRFAN"/>
    <m/>
    <m/>
    <n v="60000"/>
    <n v="22000"/>
    <n v="35000"/>
    <n v="25000"/>
    <n v="23000"/>
    <x v="1"/>
    <n v="6902"/>
    <n v="6000"/>
    <n v="9000"/>
    <n v="7000"/>
    <m/>
    <s v="ON SITE"/>
    <s v="MITRA"/>
  </r>
  <r>
    <x v="0"/>
    <x v="1"/>
    <x v="19"/>
    <s v="ANDAN"/>
    <s v="TRI FAJAR"/>
    <m/>
    <s v="ARIS EFFENDI"/>
    <s v="IRFAN"/>
    <m/>
    <m/>
    <n v="48000"/>
    <n v="17000"/>
    <n v="30000"/>
    <n v="25000"/>
    <n v="20000"/>
    <x v="1"/>
    <n v="27535"/>
    <n v="5000"/>
    <n v="6000"/>
    <n v="4000"/>
    <m/>
    <s v="ON SITE"/>
    <s v="MITRA"/>
  </r>
  <r>
    <x v="0"/>
    <x v="1"/>
    <x v="20"/>
    <s v="ANDAN"/>
    <s v="TRI FAJAR"/>
    <m/>
    <s v="ARIS EFFENDI"/>
    <s v="IRFAN"/>
    <m/>
    <m/>
    <n v="39000"/>
    <n v="17000"/>
    <n v="25000"/>
    <n v="20000"/>
    <n v="15000"/>
    <x v="1"/>
    <n v="9399"/>
    <n v="5000"/>
    <n v="6000"/>
    <n v="4000"/>
    <m/>
    <s v="ON SITE"/>
    <s v="MITRA"/>
  </r>
  <r>
    <x v="0"/>
    <x v="1"/>
    <x v="21"/>
    <s v="ANDAN"/>
    <s v="DIDIK"/>
    <m/>
    <s v="ARIS EFFENDI"/>
    <s v="IRFAN"/>
    <m/>
    <m/>
    <n v="48000"/>
    <n v="15000"/>
    <n v="25000"/>
    <n v="20000"/>
    <n v="15000"/>
    <x v="1"/>
    <n v="1155"/>
    <n v="5000"/>
    <n v="6000"/>
    <n v="4000"/>
    <m/>
    <s v="ON SITE"/>
    <s v="MITRA"/>
  </r>
  <r>
    <x v="0"/>
    <x v="1"/>
    <x v="22"/>
    <s v="ANDAN"/>
    <s v="DIDIK"/>
    <m/>
    <s v="ARIS EFFENDI"/>
    <s v="IRFAN"/>
    <m/>
    <m/>
    <n v="42000"/>
    <m/>
    <n v="15000"/>
    <n v="10000"/>
    <n v="5000"/>
    <x v="0"/>
    <n v="0"/>
    <n v="0"/>
    <n v="0"/>
    <n v="0"/>
    <m/>
    <m/>
    <m/>
  </r>
  <r>
    <x v="0"/>
    <x v="1"/>
    <x v="23"/>
    <s v="ANDAN"/>
    <s v="DIDIK"/>
    <m/>
    <s v="ARIS EFFENDI"/>
    <s v="SUNARTO"/>
    <m/>
    <m/>
    <n v="36000"/>
    <n v="15000"/>
    <n v="15000"/>
    <n v="10000"/>
    <n v="7000"/>
    <x v="1"/>
    <n v="3870"/>
    <n v="3000"/>
    <n v="4000"/>
    <n v="3000"/>
    <m/>
    <s v="ON SITE"/>
    <s v="MITRA"/>
  </r>
  <r>
    <x v="0"/>
    <x v="1"/>
    <x v="24"/>
    <s v="ANDAN"/>
    <s v="DIDIK"/>
    <m/>
    <s v="ARIS EFFENDI"/>
    <s v="SUNARTO"/>
    <m/>
    <m/>
    <n v="24000"/>
    <n v="16000"/>
    <n v="15000"/>
    <n v="10000"/>
    <n v="7000"/>
    <x v="0"/>
    <n v="0"/>
    <n v="5000"/>
    <n v="6000"/>
    <n v="5000"/>
    <m/>
    <s v="ON SITE"/>
    <s v="MITRA"/>
  </r>
  <r>
    <x v="0"/>
    <x v="1"/>
    <x v="25"/>
    <s v="ANDAN"/>
    <s v="DIDIK"/>
    <m/>
    <s v="ARIS EFFENDI"/>
    <s v="IRFAN"/>
    <m/>
    <m/>
    <n v="18000"/>
    <n v="22000"/>
    <n v="15000"/>
    <n v="10000"/>
    <n v="7000"/>
    <x v="1"/>
    <n v="6006"/>
    <n v="6000"/>
    <n v="9000"/>
    <n v="6500"/>
    <m/>
    <s v="ON SITE"/>
    <s v="MITRA"/>
  </r>
  <r>
    <x v="0"/>
    <x v="1"/>
    <x v="26"/>
    <s v="ANDAN"/>
    <s v="ILHAM"/>
    <m/>
    <s v="ARIS EFFENDI"/>
    <s v="WIDODO"/>
    <m/>
    <m/>
    <n v="36000"/>
    <n v="10000"/>
    <n v="15000"/>
    <n v="10000"/>
    <n v="7000"/>
    <x v="1"/>
    <n v="135"/>
    <n v="3000"/>
    <n v="4000"/>
    <n v="3000"/>
    <m/>
    <s v="ON SITE"/>
    <s v="MITRA"/>
  </r>
  <r>
    <x v="0"/>
    <x v="2"/>
    <x v="27"/>
    <s v="ANDAN"/>
    <s v="ILHAM"/>
    <m/>
    <s v="ARIS EFFENDI"/>
    <s v="NURMA"/>
    <m/>
    <m/>
    <n v="42000"/>
    <n v="8000"/>
    <n v="15000"/>
    <n v="10000"/>
    <n v="5000"/>
    <x v="0"/>
    <n v="12149"/>
    <n v="2400"/>
    <n v="3200"/>
    <n v="2400"/>
    <m/>
    <s v="NY"/>
    <m/>
  </r>
  <r>
    <x v="0"/>
    <x v="1"/>
    <x v="28"/>
    <s v="ANDAN"/>
    <s v="ILHAM"/>
    <m/>
    <s v="ARIS EFFENDI"/>
    <s v="NURMA"/>
    <m/>
    <m/>
    <n v="36000"/>
    <n v="10000"/>
    <n v="15000"/>
    <n v="10000"/>
    <n v="8000"/>
    <x v="1"/>
    <n v="8680"/>
    <n v="3000"/>
    <n v="4000"/>
    <n v="3000"/>
    <m/>
    <s v="ON SITE"/>
    <s v="MITRA"/>
  </r>
  <r>
    <x v="0"/>
    <x v="1"/>
    <x v="29"/>
    <s v="ANDAN"/>
    <s v="ILHAM"/>
    <m/>
    <s v="ARIS EFFENDI"/>
    <s v="EGI"/>
    <m/>
    <m/>
    <n v="30000"/>
    <n v="10000"/>
    <n v="20000"/>
    <n v="15000"/>
    <n v="10000"/>
    <x v="1"/>
    <n v="17753"/>
    <n v="3000"/>
    <n v="4000"/>
    <n v="3000"/>
    <m/>
    <s v="ON SITE"/>
    <s v="MITRA"/>
  </r>
  <r>
    <x v="0"/>
    <x v="1"/>
    <x v="30"/>
    <s v="ANDAN"/>
    <s v="FAHMI"/>
    <m/>
    <s v="ARIS EFFENDI"/>
    <s v="ZAKARIYA"/>
    <m/>
    <m/>
    <n v="42000"/>
    <n v="10000"/>
    <n v="25000"/>
    <n v="20000"/>
    <n v="15000"/>
    <x v="1"/>
    <n v="8534"/>
    <n v="3000"/>
    <n v="4000"/>
    <n v="3000"/>
    <m/>
    <s v="ON SITE"/>
    <s v="MITRA"/>
  </r>
  <r>
    <x v="0"/>
    <x v="1"/>
    <x v="31"/>
    <s v="ANDAN"/>
    <s v="FAHMI"/>
    <m/>
    <s v="ARIS EFFENDI"/>
    <s v="SUBOWO"/>
    <m/>
    <m/>
    <n v="18000"/>
    <n v="10000"/>
    <n v="15000"/>
    <n v="10000"/>
    <n v="8000"/>
    <x v="1"/>
    <n v="6000"/>
    <n v="0"/>
    <n v="0"/>
    <n v="0"/>
    <m/>
    <m/>
    <m/>
  </r>
  <r>
    <x v="0"/>
    <x v="1"/>
    <x v="32"/>
    <s v="ANDAN"/>
    <s v="FAHMI"/>
    <m/>
    <s v="ARIS EFFENDI"/>
    <s v="IRFAN"/>
    <m/>
    <m/>
    <n v="18000"/>
    <n v="10000"/>
    <n v="15000"/>
    <n v="10000"/>
    <n v="8000"/>
    <x v="1"/>
    <n v="7839"/>
    <n v="3000"/>
    <n v="4000"/>
    <n v="3000"/>
    <m/>
    <s v="ON SITE"/>
    <s v="MITRA"/>
  </r>
  <r>
    <x v="0"/>
    <x v="1"/>
    <x v="33"/>
    <s v="ANDAN"/>
    <s v="DARWIN"/>
    <m/>
    <s v="ARIS EFFENDI"/>
    <s v="AHMAD"/>
    <m/>
    <m/>
    <n v="30000"/>
    <n v="10000"/>
    <n v="20000"/>
    <n v="15000"/>
    <n v="10000"/>
    <x v="1"/>
    <n v="23145"/>
    <n v="3000"/>
    <n v="4000"/>
    <n v="3000"/>
    <m/>
    <s v="ON SITE"/>
    <s v="MIT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064CA-ACB4-4F42-8B16-8A0A0A212F79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2" firstHeaderRow="0" firstDataRow="1" firstDataCol="1"/>
  <pivotFields count="23">
    <pivotField axis="axisRow" showAll="0">
      <items count="2"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Row" showAll="0" sortType="descending">
      <items count="35">
        <item x="9"/>
        <item x="32"/>
        <item x="2"/>
        <item x="3"/>
        <item x="12"/>
        <item x="19"/>
        <item x="25"/>
        <item x="13"/>
        <item x="4"/>
        <item x="21"/>
        <item x="14"/>
        <item x="30"/>
        <item x="5"/>
        <item x="26"/>
        <item x="23"/>
        <item x="16"/>
        <item x="10"/>
        <item x="0"/>
        <item x="15"/>
        <item x="24"/>
        <item x="17"/>
        <item x="20"/>
        <item x="6"/>
        <item x="1"/>
        <item x="29"/>
        <item x="22"/>
        <item x="7"/>
        <item x="27"/>
        <item x="33"/>
        <item x="8"/>
        <item x="18"/>
        <item x="28"/>
        <item x="11"/>
        <item x="3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dataField="1" showAll="0"/>
    <pivotField dataField="1" showAll="0"/>
    <pivotField dataField="1" showAll="0"/>
    <pivotField showAll="0">
      <items count="4">
        <item x="1"/>
        <item x="0"/>
        <item x="2"/>
        <item t="default"/>
      </items>
    </pivotField>
    <pivotField numFmtId="165" showAll="0"/>
    <pivotField numFmtId="165" showAll="0"/>
    <pivotField numFmtId="165" showAll="0"/>
    <pivotField numFmtId="165" showAll="0"/>
    <pivotField showAll="0"/>
    <pivotField showAll="0"/>
    <pivotField showAll="0"/>
  </pivotFields>
  <rowFields count="3">
    <field x="0"/>
    <field x="1"/>
    <field x="2"/>
  </rowFields>
  <rowItems count="39">
    <i>
      <x/>
    </i>
    <i r="1">
      <x/>
    </i>
    <i r="2">
      <x v="27"/>
    </i>
    <i r="1">
      <x v="1"/>
    </i>
    <i r="2">
      <x v="30"/>
    </i>
    <i r="2">
      <x v="5"/>
    </i>
    <i r="2">
      <x v="20"/>
    </i>
    <i r="2">
      <x v="21"/>
    </i>
    <i r="2">
      <x v="9"/>
    </i>
    <i r="2">
      <x v="11"/>
    </i>
    <i r="2">
      <x v="24"/>
    </i>
    <i r="2">
      <x v="28"/>
    </i>
    <i r="2">
      <x v="1"/>
    </i>
    <i r="2">
      <x v="31"/>
    </i>
    <i r="2">
      <x v="33"/>
    </i>
    <i r="2">
      <x v="6"/>
    </i>
    <i r="2">
      <x v="13"/>
    </i>
    <i r="2">
      <x v="14"/>
    </i>
    <i r="2">
      <x v="19"/>
    </i>
    <i r="2">
      <x v="25"/>
    </i>
    <i r="1">
      <x v="2"/>
    </i>
    <i r="2">
      <x v="3"/>
    </i>
    <i r="2">
      <x v="16"/>
    </i>
    <i r="2">
      <x v="29"/>
    </i>
    <i r="2">
      <x v="23"/>
    </i>
    <i r="2">
      <x v="26"/>
    </i>
    <i r="2">
      <x v="4"/>
    </i>
    <i r="2">
      <x v="8"/>
    </i>
    <i r="2">
      <x v="12"/>
    </i>
    <i r="2">
      <x v="22"/>
    </i>
    <i r="2">
      <x v="32"/>
    </i>
    <i r="2">
      <x v="2"/>
    </i>
    <i r="2">
      <x v="17"/>
    </i>
    <i r="2">
      <x/>
    </i>
    <i r="2">
      <x v="10"/>
    </i>
    <i r="2">
      <x v="7"/>
    </i>
    <i r="2">
      <x v="18"/>
    </i>
    <i r="2"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PESIMIS" fld="12" baseField="0" baseItem="0"/>
    <dataField name=" MODERAT" fld="13" baseField="0" baseItem="0"/>
    <dataField name=" OPTIMIS" fld="14" baseField="0" baseItem="0"/>
  </dataFields>
  <formats count="7">
    <format dxfId="7">
      <pivotArea outline="0" collapsedLevelsAreSubtotals="1" fieldPosition="0"/>
    </format>
    <format dxfId="6">
      <pivotArea field="0" type="button" dataOnly="0" labelOnly="1" outline="0" axis="axisRow" fieldPosition="0"/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">
      <pivotArea field="0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">
      <pivotArea field="0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FCD6-B32E-4F17-85B2-65DD0FA8CA9D}">
  <dimension ref="A3:D42"/>
  <sheetViews>
    <sheetView topLeftCell="A14" workbookViewId="0">
      <selection activeCell="C30" sqref="C30"/>
    </sheetView>
  </sheetViews>
  <sheetFormatPr defaultRowHeight="15" x14ac:dyDescent="0.25"/>
  <cols>
    <col min="1" max="1" width="20.28515625" customWidth="1"/>
    <col min="2" max="4" width="15.85546875" customWidth="1"/>
  </cols>
  <sheetData>
    <row r="3" spans="1:4" s="5" customFormat="1" ht="30.75" customHeight="1" x14ac:dyDescent="0.25">
      <c r="A3" s="12" t="s">
        <v>51</v>
      </c>
      <c r="B3" s="5" t="s">
        <v>53</v>
      </c>
      <c r="C3" s="5" t="s">
        <v>54</v>
      </c>
      <c r="D3" s="5" t="s">
        <v>55</v>
      </c>
    </row>
    <row r="4" spans="1:4" x14ac:dyDescent="0.25">
      <c r="A4" s="8" t="s">
        <v>10</v>
      </c>
      <c r="B4" s="10">
        <v>590000</v>
      </c>
      <c r="C4" s="10">
        <v>420000</v>
      </c>
      <c r="D4" s="10">
        <v>295000</v>
      </c>
    </row>
    <row r="5" spans="1:4" x14ac:dyDescent="0.25">
      <c r="A5" s="9" t="s">
        <v>43</v>
      </c>
      <c r="B5" s="10">
        <v>15000</v>
      </c>
      <c r="C5" s="10">
        <v>10000</v>
      </c>
      <c r="D5" s="10">
        <v>5000</v>
      </c>
    </row>
    <row r="6" spans="1:4" x14ac:dyDescent="0.25">
      <c r="A6" s="11" t="s">
        <v>44</v>
      </c>
      <c r="B6" s="10">
        <v>15000</v>
      </c>
      <c r="C6" s="10">
        <v>10000</v>
      </c>
      <c r="D6" s="10">
        <v>5000</v>
      </c>
    </row>
    <row r="7" spans="1:4" x14ac:dyDescent="0.25">
      <c r="A7" s="9" t="s">
        <v>31</v>
      </c>
      <c r="B7" s="10">
        <v>330000</v>
      </c>
      <c r="C7" s="10">
        <v>240000</v>
      </c>
      <c r="D7" s="10">
        <v>180000</v>
      </c>
    </row>
    <row r="8" spans="1:4" x14ac:dyDescent="0.25">
      <c r="A8" s="11" t="s">
        <v>34</v>
      </c>
      <c r="B8" s="10">
        <v>35000</v>
      </c>
      <c r="C8" s="10">
        <v>25000</v>
      </c>
      <c r="D8" s="10">
        <v>23000</v>
      </c>
    </row>
    <row r="9" spans="1:4" x14ac:dyDescent="0.25">
      <c r="A9" s="11" t="s">
        <v>35</v>
      </c>
      <c r="B9" s="10">
        <v>30000</v>
      </c>
      <c r="C9" s="10">
        <v>25000</v>
      </c>
      <c r="D9" s="10">
        <v>20000</v>
      </c>
    </row>
    <row r="10" spans="1:4" x14ac:dyDescent="0.25">
      <c r="A10" s="11" t="s">
        <v>32</v>
      </c>
      <c r="B10" s="10">
        <v>30000</v>
      </c>
      <c r="C10" s="10">
        <v>20000</v>
      </c>
      <c r="D10" s="10">
        <v>15000</v>
      </c>
    </row>
    <row r="11" spans="1:4" x14ac:dyDescent="0.25">
      <c r="A11" s="11" t="s">
        <v>36</v>
      </c>
      <c r="B11" s="10">
        <v>25000</v>
      </c>
      <c r="C11" s="10">
        <v>20000</v>
      </c>
      <c r="D11" s="10">
        <v>15000</v>
      </c>
    </row>
    <row r="12" spans="1:4" x14ac:dyDescent="0.25">
      <c r="A12" s="11" t="s">
        <v>37</v>
      </c>
      <c r="B12" s="10">
        <v>25000</v>
      </c>
      <c r="C12" s="10">
        <v>20000</v>
      </c>
      <c r="D12" s="10">
        <v>15000</v>
      </c>
    </row>
    <row r="13" spans="1:4" x14ac:dyDescent="0.25">
      <c r="A13" s="11" t="s">
        <v>47</v>
      </c>
      <c r="B13" s="10">
        <v>25000</v>
      </c>
      <c r="C13" s="10">
        <v>20000</v>
      </c>
      <c r="D13" s="10">
        <v>15000</v>
      </c>
    </row>
    <row r="14" spans="1:4" x14ac:dyDescent="0.25">
      <c r="A14" s="11" t="s">
        <v>46</v>
      </c>
      <c r="B14" s="10">
        <v>20000</v>
      </c>
      <c r="C14" s="10">
        <v>15000</v>
      </c>
      <c r="D14" s="10">
        <v>10000</v>
      </c>
    </row>
    <row r="15" spans="1:4" x14ac:dyDescent="0.25">
      <c r="A15" s="11" t="s">
        <v>50</v>
      </c>
      <c r="B15" s="10">
        <v>20000</v>
      </c>
      <c r="C15" s="10">
        <v>15000</v>
      </c>
      <c r="D15" s="10">
        <v>10000</v>
      </c>
    </row>
    <row r="16" spans="1:4" x14ac:dyDescent="0.25">
      <c r="A16" s="11" t="s">
        <v>49</v>
      </c>
      <c r="B16" s="10">
        <v>15000</v>
      </c>
      <c r="C16" s="10">
        <v>10000</v>
      </c>
      <c r="D16" s="10">
        <v>8000</v>
      </c>
    </row>
    <row r="17" spans="1:4" x14ac:dyDescent="0.25">
      <c r="A17" s="11" t="s">
        <v>45</v>
      </c>
      <c r="B17" s="10">
        <v>15000</v>
      </c>
      <c r="C17" s="10">
        <v>10000</v>
      </c>
      <c r="D17" s="10">
        <v>8000</v>
      </c>
    </row>
    <row r="18" spans="1:4" x14ac:dyDescent="0.25">
      <c r="A18" s="11" t="s">
        <v>48</v>
      </c>
      <c r="B18" s="10">
        <v>15000</v>
      </c>
      <c r="C18" s="10">
        <v>10000</v>
      </c>
      <c r="D18" s="10">
        <v>8000</v>
      </c>
    </row>
    <row r="19" spans="1:4" x14ac:dyDescent="0.25">
      <c r="A19" s="11" t="s">
        <v>41</v>
      </c>
      <c r="B19" s="10">
        <v>15000</v>
      </c>
      <c r="C19" s="10">
        <v>10000</v>
      </c>
      <c r="D19" s="10">
        <v>7000</v>
      </c>
    </row>
    <row r="20" spans="1:4" x14ac:dyDescent="0.25">
      <c r="A20" s="11" t="s">
        <v>42</v>
      </c>
      <c r="B20" s="10">
        <v>15000</v>
      </c>
      <c r="C20" s="10">
        <v>10000</v>
      </c>
      <c r="D20" s="10">
        <v>7000</v>
      </c>
    </row>
    <row r="21" spans="1:4" x14ac:dyDescent="0.25">
      <c r="A21" s="11" t="s">
        <v>39</v>
      </c>
      <c r="B21" s="10">
        <v>15000</v>
      </c>
      <c r="C21" s="10">
        <v>10000</v>
      </c>
      <c r="D21" s="10">
        <v>7000</v>
      </c>
    </row>
    <row r="22" spans="1:4" x14ac:dyDescent="0.25">
      <c r="A22" s="11" t="s">
        <v>40</v>
      </c>
      <c r="B22" s="10">
        <v>15000</v>
      </c>
      <c r="C22" s="10">
        <v>10000</v>
      </c>
      <c r="D22" s="10">
        <v>7000</v>
      </c>
    </row>
    <row r="23" spans="1:4" x14ac:dyDescent="0.25">
      <c r="A23" s="11" t="s">
        <v>38</v>
      </c>
      <c r="B23" s="10">
        <v>15000</v>
      </c>
      <c r="C23" s="10">
        <v>10000</v>
      </c>
      <c r="D23" s="10">
        <v>5000</v>
      </c>
    </row>
    <row r="24" spans="1:4" x14ac:dyDescent="0.25">
      <c r="A24" s="9" t="s">
        <v>11</v>
      </c>
      <c r="B24" s="10">
        <v>245000</v>
      </c>
      <c r="C24" s="10">
        <v>170000</v>
      </c>
      <c r="D24" s="10">
        <v>110000</v>
      </c>
    </row>
    <row r="25" spans="1:4" x14ac:dyDescent="0.25">
      <c r="A25" s="11" t="s">
        <v>15</v>
      </c>
      <c r="B25" s="10">
        <v>30000</v>
      </c>
      <c r="C25" s="10">
        <v>20000</v>
      </c>
      <c r="D25" s="10">
        <v>15000</v>
      </c>
    </row>
    <row r="26" spans="1:4" x14ac:dyDescent="0.25">
      <c r="A26" s="11" t="s">
        <v>22</v>
      </c>
      <c r="B26" s="10">
        <v>20000</v>
      </c>
      <c r="C26" s="10">
        <v>15000</v>
      </c>
      <c r="D26" s="10">
        <v>10000</v>
      </c>
    </row>
    <row r="27" spans="1:4" x14ac:dyDescent="0.25">
      <c r="A27" s="11" t="s">
        <v>20</v>
      </c>
      <c r="B27" s="10">
        <v>30000</v>
      </c>
      <c r="C27" s="10">
        <v>20000</v>
      </c>
      <c r="D27" s="10">
        <v>10000</v>
      </c>
    </row>
    <row r="28" spans="1:4" x14ac:dyDescent="0.25">
      <c r="A28" s="11" t="s">
        <v>13</v>
      </c>
      <c r="B28" s="10">
        <v>20000</v>
      </c>
      <c r="C28" s="10">
        <v>15000</v>
      </c>
      <c r="D28" s="10">
        <v>10000</v>
      </c>
    </row>
    <row r="29" spans="1:4" x14ac:dyDescent="0.25">
      <c r="A29" s="11" t="s">
        <v>19</v>
      </c>
      <c r="B29" s="10">
        <v>30000</v>
      </c>
      <c r="C29" s="10">
        <v>20000</v>
      </c>
      <c r="D29" s="10">
        <v>10000</v>
      </c>
    </row>
    <row r="30" spans="1:4" x14ac:dyDescent="0.25">
      <c r="A30" s="11" t="s">
        <v>24</v>
      </c>
      <c r="B30" s="10">
        <v>20000</v>
      </c>
      <c r="C30" s="10">
        <v>15000</v>
      </c>
      <c r="D30" s="10">
        <v>10000</v>
      </c>
    </row>
    <row r="31" spans="1:4" x14ac:dyDescent="0.25">
      <c r="A31" s="11" t="s">
        <v>16</v>
      </c>
      <c r="B31" s="10">
        <v>20000</v>
      </c>
      <c r="C31" s="10">
        <v>15000</v>
      </c>
      <c r="D31" s="10">
        <v>10000</v>
      </c>
    </row>
    <row r="32" spans="1:4" x14ac:dyDescent="0.25">
      <c r="A32" s="11" t="s">
        <v>17</v>
      </c>
      <c r="B32" s="10">
        <v>15000</v>
      </c>
      <c r="C32" s="10">
        <v>10000</v>
      </c>
      <c r="D32" s="10">
        <v>10000</v>
      </c>
    </row>
    <row r="33" spans="1:4" x14ac:dyDescent="0.25">
      <c r="A33" s="11" t="s">
        <v>18</v>
      </c>
      <c r="B33" s="10">
        <v>10000</v>
      </c>
      <c r="C33" s="10">
        <v>8000</v>
      </c>
      <c r="D33" s="10">
        <v>5000</v>
      </c>
    </row>
    <row r="34" spans="1:4" x14ac:dyDescent="0.25">
      <c r="A34" s="11" t="s">
        <v>23</v>
      </c>
      <c r="B34" s="10">
        <v>10000</v>
      </c>
      <c r="C34" s="10">
        <v>5000</v>
      </c>
      <c r="D34" s="10">
        <v>5000</v>
      </c>
    </row>
    <row r="35" spans="1:4" x14ac:dyDescent="0.25">
      <c r="A35" s="11" t="s">
        <v>14</v>
      </c>
      <c r="B35" s="10">
        <v>15000</v>
      </c>
      <c r="C35" s="10">
        <v>10000</v>
      </c>
      <c r="D35" s="10">
        <v>5000</v>
      </c>
    </row>
    <row r="36" spans="1:4" x14ac:dyDescent="0.25">
      <c r="A36" s="11" t="s">
        <v>12</v>
      </c>
      <c r="B36" s="10">
        <v>10000</v>
      </c>
      <c r="C36" s="10">
        <v>7000</v>
      </c>
      <c r="D36" s="10">
        <v>5000</v>
      </c>
    </row>
    <row r="37" spans="1:4" x14ac:dyDescent="0.25">
      <c r="A37" s="11" t="s">
        <v>21</v>
      </c>
      <c r="B37" s="10">
        <v>15000</v>
      </c>
      <c r="C37" s="10">
        <v>10000</v>
      </c>
      <c r="D37" s="10">
        <v>5000</v>
      </c>
    </row>
    <row r="38" spans="1:4" x14ac:dyDescent="0.25">
      <c r="A38" s="11" t="s">
        <v>26</v>
      </c>
      <c r="B38" s="10"/>
      <c r="C38" s="10"/>
      <c r="D38" s="10"/>
    </row>
    <row r="39" spans="1:4" x14ac:dyDescent="0.25">
      <c r="A39" s="11" t="s">
        <v>25</v>
      </c>
      <c r="B39" s="10"/>
      <c r="C39" s="10"/>
      <c r="D39" s="10"/>
    </row>
    <row r="40" spans="1:4" x14ac:dyDescent="0.25">
      <c r="A40" s="11" t="s">
        <v>27</v>
      </c>
      <c r="B40" s="10"/>
      <c r="C40" s="10"/>
      <c r="D40" s="10"/>
    </row>
    <row r="41" spans="1:4" x14ac:dyDescent="0.25">
      <c r="A41" s="11" t="s">
        <v>28</v>
      </c>
      <c r="B41" s="10"/>
      <c r="C41" s="10"/>
      <c r="D41" s="10"/>
    </row>
    <row r="42" spans="1:4" x14ac:dyDescent="0.25">
      <c r="A42" s="8" t="s">
        <v>52</v>
      </c>
      <c r="B42" s="10">
        <v>590000</v>
      </c>
      <c r="C42" s="10">
        <v>420000</v>
      </c>
      <c r="D42" s="10">
        <v>295000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F5657-2034-4922-8006-E8155D76C308}">
  <dimension ref="B2:BM130"/>
  <sheetViews>
    <sheetView tabSelected="1" topLeftCell="D4" zoomScale="85" zoomScaleNormal="85" zoomScaleSheetLayoutView="100" workbookViewId="0">
      <pane ySplit="5" topLeftCell="A122" activePane="bottomLeft" state="frozen"/>
      <selection activeCell="A4" sqref="A4"/>
      <selection pane="bottomLeft" activeCell="R124" sqref="R124"/>
    </sheetView>
  </sheetViews>
  <sheetFormatPr defaultRowHeight="15" x14ac:dyDescent="0.25"/>
  <cols>
    <col min="1" max="1" width="3.85546875" customWidth="1"/>
    <col min="2" max="2" width="5.5703125" customWidth="1"/>
    <col min="3" max="3" width="12.5703125" style="24" customWidth="1"/>
    <col min="4" max="4" width="13.7109375" customWidth="1"/>
    <col min="5" max="5" width="18.140625" bestFit="1" customWidth="1"/>
    <col min="6" max="9" width="12" customWidth="1"/>
    <col min="10" max="10" width="11.42578125" customWidth="1"/>
    <col min="11" max="11" width="13.140625" customWidth="1"/>
    <col min="12" max="12" width="11.42578125" customWidth="1"/>
    <col min="13" max="13" width="13.140625" customWidth="1"/>
    <col min="14" max="14" width="11.42578125" customWidth="1"/>
    <col min="15" max="15" width="13.140625" customWidth="1"/>
    <col min="16" max="16" width="11.42578125" customWidth="1"/>
    <col min="17" max="17" width="13.140625" customWidth="1"/>
    <col min="18" max="18" width="11.42578125" customWidth="1"/>
    <col min="19" max="19" width="13.140625" customWidth="1"/>
    <col min="20" max="20" width="11.42578125" customWidth="1"/>
    <col min="21" max="21" width="13.140625" customWidth="1"/>
    <col min="22" max="22" width="11.42578125" customWidth="1"/>
    <col min="23" max="23" width="13.140625" customWidth="1"/>
    <col min="24" max="24" width="11.42578125" customWidth="1"/>
    <col min="25" max="25" width="13.140625" customWidth="1"/>
    <col min="26" max="26" width="11.42578125" customWidth="1"/>
    <col min="27" max="27" width="13.140625" customWidth="1"/>
    <col min="28" max="28" width="11.42578125" bestFit="1" customWidth="1"/>
    <col min="29" max="29" width="13.140625" bestFit="1" customWidth="1"/>
    <col min="30" max="30" width="11.42578125" customWidth="1"/>
    <col min="31" max="31" width="13.140625" customWidth="1"/>
    <col min="32" max="32" width="11.42578125" bestFit="1" customWidth="1"/>
    <col min="33" max="33" width="13.140625" bestFit="1" customWidth="1"/>
    <col min="34" max="34" width="11.42578125" customWidth="1"/>
    <col min="35" max="35" width="13.140625" customWidth="1"/>
    <col min="36" max="36" width="11.42578125" bestFit="1" customWidth="1"/>
    <col min="37" max="37" width="13.140625" bestFit="1" customWidth="1"/>
    <col min="38" max="38" width="11.42578125" customWidth="1"/>
    <col min="39" max="39" width="13.140625" customWidth="1"/>
    <col min="40" max="40" width="11.42578125" bestFit="1" customWidth="1"/>
    <col min="41" max="41" width="13.140625" bestFit="1" customWidth="1"/>
    <col min="42" max="42" width="11.42578125" customWidth="1"/>
    <col min="43" max="43" width="13.140625" customWidth="1"/>
    <col min="44" max="44" width="11.42578125" bestFit="1" customWidth="1"/>
    <col min="45" max="45" width="13.140625" bestFit="1" customWidth="1"/>
    <col min="46" max="46" width="11.42578125" customWidth="1"/>
    <col min="47" max="47" width="13.140625" customWidth="1"/>
    <col min="48" max="48" width="11.42578125" bestFit="1" customWidth="1"/>
    <col min="49" max="49" width="13.140625" bestFit="1" customWidth="1"/>
    <col min="50" max="50" width="11.42578125" customWidth="1"/>
    <col min="51" max="51" width="13.140625" customWidth="1"/>
    <col min="52" max="52" width="11.42578125" bestFit="1" customWidth="1"/>
    <col min="53" max="53" width="13.140625" bestFit="1" customWidth="1"/>
    <col min="54" max="54" width="11.42578125" customWidth="1"/>
    <col min="55" max="55" width="13.140625" customWidth="1"/>
    <col min="56" max="56" width="11.42578125" bestFit="1" customWidth="1"/>
    <col min="57" max="57" width="13.140625" bestFit="1" customWidth="1"/>
    <col min="58" max="58" width="11.42578125" customWidth="1"/>
    <col min="59" max="59" width="13.140625" customWidth="1"/>
    <col min="60" max="60" width="11.42578125" bestFit="1" customWidth="1"/>
    <col min="61" max="61" width="13.140625" bestFit="1" customWidth="1"/>
    <col min="62" max="62" width="11.5703125" customWidth="1"/>
    <col min="63" max="64" width="10.7109375" customWidth="1"/>
    <col min="65" max="65" width="14.42578125" customWidth="1"/>
  </cols>
  <sheetData>
    <row r="2" spans="2:65" ht="18.75" x14ac:dyDescent="0.3">
      <c r="B2" s="13" t="s">
        <v>58</v>
      </c>
    </row>
    <row r="3" spans="2:65" ht="18.75" x14ac:dyDescent="0.3">
      <c r="B3" s="13" t="s">
        <v>59</v>
      </c>
    </row>
    <row r="4" spans="2:65" x14ac:dyDescent="0.25">
      <c r="B4" s="1"/>
      <c r="C4" s="2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2"/>
    </row>
    <row r="5" spans="2:65" s="5" customFormat="1" ht="15" customHeight="1" x14ac:dyDescent="0.25">
      <c r="B5" s="29" t="s">
        <v>0</v>
      </c>
      <c r="C5" s="29" t="s">
        <v>1</v>
      </c>
      <c r="D5" s="29" t="s">
        <v>2</v>
      </c>
      <c r="E5" s="29" t="s">
        <v>3</v>
      </c>
      <c r="F5" s="29" t="s">
        <v>4</v>
      </c>
      <c r="G5" s="29" t="s">
        <v>149</v>
      </c>
      <c r="H5" s="29" t="s">
        <v>150</v>
      </c>
      <c r="I5" s="29" t="s">
        <v>151</v>
      </c>
      <c r="J5" s="29" t="s">
        <v>123</v>
      </c>
      <c r="K5" s="29"/>
      <c r="L5" s="29"/>
      <c r="M5" s="29"/>
      <c r="N5" s="29" t="s">
        <v>124</v>
      </c>
      <c r="O5" s="29"/>
      <c r="P5" s="29"/>
      <c r="Q5" s="29"/>
      <c r="R5" s="29" t="s">
        <v>125</v>
      </c>
      <c r="S5" s="29"/>
      <c r="T5" s="29"/>
      <c r="U5" s="29"/>
      <c r="V5" s="29" t="s">
        <v>122</v>
      </c>
      <c r="W5" s="29"/>
      <c r="X5" s="29"/>
      <c r="Y5" s="29"/>
      <c r="Z5" s="29" t="s">
        <v>126</v>
      </c>
      <c r="AA5" s="29"/>
      <c r="AB5" s="29"/>
      <c r="AC5" s="29"/>
      <c r="AD5" s="29" t="s">
        <v>127</v>
      </c>
      <c r="AE5" s="29"/>
      <c r="AF5" s="29"/>
      <c r="AG5" s="29"/>
      <c r="AH5" s="29" t="s">
        <v>128</v>
      </c>
      <c r="AI5" s="29"/>
      <c r="AJ5" s="29"/>
      <c r="AK5" s="29"/>
      <c r="AL5" s="29" t="s">
        <v>129</v>
      </c>
      <c r="AM5" s="29"/>
      <c r="AN5" s="29"/>
      <c r="AO5" s="29"/>
      <c r="AP5" s="29" t="s">
        <v>130</v>
      </c>
      <c r="AQ5" s="29"/>
      <c r="AR5" s="29"/>
      <c r="AS5" s="29"/>
      <c r="AT5" s="29" t="s">
        <v>131</v>
      </c>
      <c r="AU5" s="29"/>
      <c r="AV5" s="29"/>
      <c r="AW5" s="29"/>
      <c r="AX5" s="29" t="s">
        <v>132</v>
      </c>
      <c r="AY5" s="29"/>
      <c r="AZ5" s="29"/>
      <c r="BA5" s="29"/>
      <c r="BB5" s="29" t="s">
        <v>133</v>
      </c>
      <c r="BC5" s="29"/>
      <c r="BD5" s="29"/>
      <c r="BE5" s="29"/>
      <c r="BF5" s="29" t="s">
        <v>136</v>
      </c>
      <c r="BG5" s="29"/>
      <c r="BH5" s="29"/>
      <c r="BI5" s="29"/>
      <c r="BJ5" s="30" t="s">
        <v>138</v>
      </c>
      <c r="BK5" s="31"/>
      <c r="BL5" s="32"/>
      <c r="BM5" s="29" t="s">
        <v>56</v>
      </c>
    </row>
    <row r="6" spans="2:65" s="5" customFormat="1" ht="15" customHeight="1" x14ac:dyDescent="0.25">
      <c r="B6" s="29"/>
      <c r="C6" s="29"/>
      <c r="D6" s="29"/>
      <c r="E6" s="29"/>
      <c r="F6" s="29"/>
      <c r="G6" s="29"/>
      <c r="H6" s="29"/>
      <c r="I6" s="29"/>
      <c r="J6" s="29" t="s">
        <v>5</v>
      </c>
      <c r="K6" s="29"/>
      <c r="L6" s="29" t="s">
        <v>57</v>
      </c>
      <c r="M6" s="29"/>
      <c r="N6" s="29" t="s">
        <v>5</v>
      </c>
      <c r="O6" s="29"/>
      <c r="P6" s="29" t="s">
        <v>57</v>
      </c>
      <c r="Q6" s="29"/>
      <c r="R6" s="29" t="s">
        <v>5</v>
      </c>
      <c r="S6" s="29"/>
      <c r="T6" s="29" t="s">
        <v>57</v>
      </c>
      <c r="U6" s="29"/>
      <c r="V6" s="29" t="s">
        <v>5</v>
      </c>
      <c r="W6" s="29"/>
      <c r="X6" s="29" t="s">
        <v>57</v>
      </c>
      <c r="Y6" s="29"/>
      <c r="Z6" s="29" t="s">
        <v>5</v>
      </c>
      <c r="AA6" s="29"/>
      <c r="AB6" s="29" t="s">
        <v>57</v>
      </c>
      <c r="AC6" s="29"/>
      <c r="AD6" s="29" t="s">
        <v>5</v>
      </c>
      <c r="AE6" s="29"/>
      <c r="AF6" s="29" t="s">
        <v>57</v>
      </c>
      <c r="AG6" s="29"/>
      <c r="AH6" s="29" t="s">
        <v>5</v>
      </c>
      <c r="AI6" s="29"/>
      <c r="AJ6" s="29" t="s">
        <v>57</v>
      </c>
      <c r="AK6" s="29"/>
      <c r="AL6" s="29" t="s">
        <v>5</v>
      </c>
      <c r="AM6" s="29"/>
      <c r="AN6" s="29" t="s">
        <v>57</v>
      </c>
      <c r="AO6" s="29"/>
      <c r="AP6" s="29" t="s">
        <v>5</v>
      </c>
      <c r="AQ6" s="29"/>
      <c r="AR6" s="29" t="s">
        <v>57</v>
      </c>
      <c r="AS6" s="29"/>
      <c r="AT6" s="29" t="s">
        <v>5</v>
      </c>
      <c r="AU6" s="29"/>
      <c r="AV6" s="29" t="s">
        <v>57</v>
      </c>
      <c r="AW6" s="29"/>
      <c r="AX6" s="29" t="s">
        <v>5</v>
      </c>
      <c r="AY6" s="29"/>
      <c r="AZ6" s="29" t="s">
        <v>57</v>
      </c>
      <c r="BA6" s="29"/>
      <c r="BB6" s="29" t="s">
        <v>5</v>
      </c>
      <c r="BC6" s="29"/>
      <c r="BD6" s="29" t="s">
        <v>57</v>
      </c>
      <c r="BE6" s="29"/>
      <c r="BF6" s="29" t="s">
        <v>5</v>
      </c>
      <c r="BG6" s="29"/>
      <c r="BH6" s="29" t="s">
        <v>57</v>
      </c>
      <c r="BI6" s="29"/>
      <c r="BJ6" s="33"/>
      <c r="BK6" s="34"/>
      <c r="BL6" s="35"/>
      <c r="BM6" s="29"/>
    </row>
    <row r="7" spans="2:65" s="5" customFormat="1" x14ac:dyDescent="0.25">
      <c r="B7" s="29"/>
      <c r="C7" s="29"/>
      <c r="D7" s="29"/>
      <c r="E7" s="29"/>
      <c r="F7" s="29"/>
      <c r="G7" s="29"/>
      <c r="H7" s="29"/>
      <c r="I7" s="29"/>
      <c r="J7" s="4" t="s">
        <v>134</v>
      </c>
      <c r="K7" s="4" t="s">
        <v>135</v>
      </c>
      <c r="L7" s="4" t="s">
        <v>134</v>
      </c>
      <c r="M7" s="4" t="s">
        <v>135</v>
      </c>
      <c r="N7" s="4" t="s">
        <v>134</v>
      </c>
      <c r="O7" s="4" t="s">
        <v>135</v>
      </c>
      <c r="P7" s="4" t="s">
        <v>134</v>
      </c>
      <c r="Q7" s="4" t="s">
        <v>135</v>
      </c>
      <c r="R7" s="4" t="s">
        <v>134</v>
      </c>
      <c r="S7" s="4" t="s">
        <v>135</v>
      </c>
      <c r="T7" s="4" t="s">
        <v>134</v>
      </c>
      <c r="U7" s="4" t="s">
        <v>135</v>
      </c>
      <c r="V7" s="4" t="s">
        <v>134</v>
      </c>
      <c r="W7" s="4" t="s">
        <v>135</v>
      </c>
      <c r="X7" s="4" t="s">
        <v>134</v>
      </c>
      <c r="Y7" s="4" t="s">
        <v>135</v>
      </c>
      <c r="Z7" s="4" t="s">
        <v>134</v>
      </c>
      <c r="AA7" s="4" t="s">
        <v>135</v>
      </c>
      <c r="AB7" s="4" t="s">
        <v>134</v>
      </c>
      <c r="AC7" s="4" t="s">
        <v>135</v>
      </c>
      <c r="AD7" s="4" t="s">
        <v>134</v>
      </c>
      <c r="AE7" s="4" t="s">
        <v>135</v>
      </c>
      <c r="AF7" s="4" t="s">
        <v>134</v>
      </c>
      <c r="AG7" s="4" t="s">
        <v>135</v>
      </c>
      <c r="AH7" s="4" t="s">
        <v>134</v>
      </c>
      <c r="AI7" s="4" t="s">
        <v>135</v>
      </c>
      <c r="AJ7" s="4" t="s">
        <v>134</v>
      </c>
      <c r="AK7" s="4" t="s">
        <v>135</v>
      </c>
      <c r="AL7" s="4" t="s">
        <v>134</v>
      </c>
      <c r="AM7" s="4" t="s">
        <v>135</v>
      </c>
      <c r="AN7" s="4" t="s">
        <v>134</v>
      </c>
      <c r="AO7" s="4" t="s">
        <v>135</v>
      </c>
      <c r="AP7" s="4" t="s">
        <v>134</v>
      </c>
      <c r="AQ7" s="4" t="s">
        <v>135</v>
      </c>
      <c r="AR7" s="4" t="s">
        <v>134</v>
      </c>
      <c r="AS7" s="4" t="s">
        <v>135</v>
      </c>
      <c r="AT7" s="4" t="s">
        <v>134</v>
      </c>
      <c r="AU7" s="4" t="s">
        <v>135</v>
      </c>
      <c r="AV7" s="4" t="s">
        <v>134</v>
      </c>
      <c r="AW7" s="4" t="s">
        <v>135</v>
      </c>
      <c r="AX7" s="4" t="s">
        <v>134</v>
      </c>
      <c r="AY7" s="4" t="s">
        <v>135</v>
      </c>
      <c r="AZ7" s="4" t="s">
        <v>134</v>
      </c>
      <c r="BA7" s="4" t="s">
        <v>135</v>
      </c>
      <c r="BB7" s="4" t="s">
        <v>134</v>
      </c>
      <c r="BC7" s="4" t="s">
        <v>135</v>
      </c>
      <c r="BD7" s="4" t="s">
        <v>134</v>
      </c>
      <c r="BE7" s="4" t="s">
        <v>135</v>
      </c>
      <c r="BF7" s="4" t="s">
        <v>134</v>
      </c>
      <c r="BG7" s="4" t="s">
        <v>135</v>
      </c>
      <c r="BH7" s="4" t="s">
        <v>134</v>
      </c>
      <c r="BI7" s="4" t="s">
        <v>135</v>
      </c>
      <c r="BJ7" s="4" t="s">
        <v>6</v>
      </c>
      <c r="BK7" s="4" t="s">
        <v>7</v>
      </c>
      <c r="BL7" s="4" t="s">
        <v>8</v>
      </c>
      <c r="BM7" s="29"/>
    </row>
    <row r="8" spans="2:65" s="5" customFormat="1" x14ac:dyDescent="0.25">
      <c r="B8" s="14">
        <f>SUBTOTAL(3,$C$8:C8)</f>
        <v>1</v>
      </c>
      <c r="C8" s="26" t="s">
        <v>63</v>
      </c>
      <c r="D8" s="15" t="s">
        <v>71</v>
      </c>
      <c r="E8" s="15" t="s">
        <v>249</v>
      </c>
      <c r="F8" s="15" t="s">
        <v>116</v>
      </c>
      <c r="G8" s="15" t="s">
        <v>152</v>
      </c>
      <c r="H8" s="15" t="s">
        <v>160</v>
      </c>
      <c r="I8" s="15" t="s">
        <v>163</v>
      </c>
      <c r="J8" s="21">
        <v>2200</v>
      </c>
      <c r="K8" s="21">
        <v>394</v>
      </c>
      <c r="L8" s="21"/>
      <c r="M8" s="21"/>
      <c r="N8" s="21">
        <v>2200</v>
      </c>
      <c r="O8" s="21"/>
      <c r="P8" s="21"/>
      <c r="Q8" s="21"/>
      <c r="R8" s="21">
        <v>1750</v>
      </c>
      <c r="S8" s="21">
        <v>995</v>
      </c>
      <c r="T8" s="21"/>
      <c r="U8" s="21"/>
      <c r="V8" s="21">
        <v>2000</v>
      </c>
      <c r="W8" s="21"/>
      <c r="X8" s="21">
        <v>0</v>
      </c>
      <c r="Y8" s="21"/>
      <c r="Z8" s="21">
        <v>2250</v>
      </c>
      <c r="AA8" s="21"/>
      <c r="AB8" s="21">
        <v>1000</v>
      </c>
      <c r="AC8" s="21"/>
      <c r="AD8" s="21">
        <v>2250</v>
      </c>
      <c r="AE8" s="21"/>
      <c r="AF8" s="21">
        <v>1000</v>
      </c>
      <c r="AG8" s="21"/>
      <c r="AH8" s="21">
        <v>2250</v>
      </c>
      <c r="AI8" s="21"/>
      <c r="AJ8" s="21">
        <v>1000</v>
      </c>
      <c r="AK8" s="21"/>
      <c r="AL8" s="21">
        <v>2250</v>
      </c>
      <c r="AM8" s="21"/>
      <c r="AN8" s="21">
        <v>1000</v>
      </c>
      <c r="AO8" s="21"/>
      <c r="AP8" s="21">
        <v>2250</v>
      </c>
      <c r="AQ8" s="21"/>
      <c r="AR8" s="21">
        <v>1000</v>
      </c>
      <c r="AS8" s="21"/>
      <c r="AT8" s="21">
        <v>2130</v>
      </c>
      <c r="AU8" s="21"/>
      <c r="AV8" s="21">
        <v>1000</v>
      </c>
      <c r="AW8" s="21"/>
      <c r="AX8" s="21">
        <v>2000</v>
      </c>
      <c r="AY8" s="21"/>
      <c r="AZ8" s="21">
        <v>1000</v>
      </c>
      <c r="BA8" s="21"/>
      <c r="BB8" s="21">
        <v>1470</v>
      </c>
      <c r="BC8" s="21"/>
      <c r="BD8" s="21"/>
      <c r="BE8" s="21"/>
      <c r="BF8" s="16">
        <f>J8+N8+R8+V8+Z8+AD8+AH8+AL8+AP8+AT8+AX8+BB8</f>
        <v>25000</v>
      </c>
      <c r="BG8" s="16">
        <f>K8+O8+S8+W8+AA8+AE8+AI8+AM8+AQ8+AU8+AY8+BC8</f>
        <v>1389</v>
      </c>
      <c r="BH8" s="16">
        <f>L8+P8+T8+X8+AB8+AF8+AJ8+AN8+AR8+AV8+AZ8+BD8</f>
        <v>7000</v>
      </c>
      <c r="BI8" s="16">
        <f>M8+Q8+U8+Y8+AC8+AG8+AK8+AO8+AS8+AW8+BA8+BE8</f>
        <v>0</v>
      </c>
      <c r="BJ8" s="16">
        <v>15000</v>
      </c>
      <c r="BK8" s="16">
        <v>10000</v>
      </c>
      <c r="BL8" s="16">
        <v>8000</v>
      </c>
      <c r="BM8" s="28">
        <f>BK8-BI8</f>
        <v>10000</v>
      </c>
    </row>
    <row r="9" spans="2:65" x14ac:dyDescent="0.25">
      <c r="B9" s="14">
        <f>SUBTOTAL(3,$C$8:C9)</f>
        <v>2</v>
      </c>
      <c r="C9" s="26" t="s">
        <v>65</v>
      </c>
      <c r="D9" s="15" t="s">
        <v>108</v>
      </c>
      <c r="E9" s="15" t="s">
        <v>264</v>
      </c>
      <c r="F9" s="15" t="s">
        <v>118</v>
      </c>
      <c r="G9" s="15" t="s">
        <v>179</v>
      </c>
      <c r="H9" s="15" t="s">
        <v>139</v>
      </c>
      <c r="I9" s="15" t="s">
        <v>139</v>
      </c>
      <c r="J9" s="21">
        <v>2120</v>
      </c>
      <c r="K9" s="21">
        <v>3101</v>
      </c>
      <c r="L9" s="21"/>
      <c r="M9" s="21">
        <v>0</v>
      </c>
      <c r="N9" s="21">
        <v>2120</v>
      </c>
      <c r="O9" s="21">
        <v>3046</v>
      </c>
      <c r="P9" s="21"/>
      <c r="Q9" s="21">
        <v>178</v>
      </c>
      <c r="R9" s="21">
        <v>1680</v>
      </c>
      <c r="S9" s="21">
        <v>3103</v>
      </c>
      <c r="T9" s="21"/>
      <c r="U9" s="21">
        <v>0</v>
      </c>
      <c r="V9" s="21">
        <v>1920</v>
      </c>
      <c r="W9" s="21"/>
      <c r="X9" s="21">
        <v>615</v>
      </c>
      <c r="Y9" s="21"/>
      <c r="Z9" s="21">
        <v>2160</v>
      </c>
      <c r="AA9" s="21"/>
      <c r="AB9" s="21"/>
      <c r="AC9" s="21"/>
      <c r="AD9" s="21">
        <v>2160</v>
      </c>
      <c r="AE9" s="21"/>
      <c r="AF9" s="21"/>
      <c r="AG9" s="21"/>
      <c r="AH9" s="21">
        <v>2160</v>
      </c>
      <c r="AI9" s="21"/>
      <c r="AJ9" s="21"/>
      <c r="AK9" s="21"/>
      <c r="AL9" s="21">
        <v>2160</v>
      </c>
      <c r="AM9" s="21"/>
      <c r="AN9" s="21"/>
      <c r="AO9" s="21"/>
      <c r="AP9" s="21">
        <v>2160</v>
      </c>
      <c r="AQ9" s="21"/>
      <c r="AR9" s="21"/>
      <c r="AS9" s="21"/>
      <c r="AT9" s="21">
        <v>2040</v>
      </c>
      <c r="AU9" s="21"/>
      <c r="AV9" s="21"/>
      <c r="AW9" s="21"/>
      <c r="AX9" s="21">
        <v>1920</v>
      </c>
      <c r="AY9" s="21"/>
      <c r="AZ9" s="21"/>
      <c r="BA9" s="21"/>
      <c r="BB9" s="21">
        <v>1400</v>
      </c>
      <c r="BC9" s="21"/>
      <c r="BD9" s="21"/>
      <c r="BE9" s="21"/>
      <c r="BF9" s="16">
        <f>J9+N9+R9+V9+Z9+AD9+AH9+AL9+AP9+AT9+AX9+BB9</f>
        <v>24000</v>
      </c>
      <c r="BG9" s="16">
        <f>K9+O9+S9+W9+AA9+AE9+AI9+AM9+AQ9+AU9+AY9+BC9</f>
        <v>9250</v>
      </c>
      <c r="BH9" s="16">
        <f>L9+P9+T9+X9+AB9+AF9+AJ9+AN9+AR9+AV9+AZ9+BD9</f>
        <v>615</v>
      </c>
      <c r="BI9" s="16">
        <f>M9+Q9+U9+Y9+AC9+AG9+AK9+AO9+AS9+AW9+BA9+BE9</f>
        <v>178</v>
      </c>
      <c r="BJ9" s="16">
        <v>10000</v>
      </c>
      <c r="BK9" s="16">
        <v>6000</v>
      </c>
      <c r="BL9" s="16">
        <v>4000</v>
      </c>
      <c r="BM9" s="28">
        <f>BK9-BI9</f>
        <v>5822</v>
      </c>
    </row>
    <row r="10" spans="2:65" x14ac:dyDescent="0.25">
      <c r="B10" s="14">
        <f>SUBTOTAL(3,$C$8:C10)</f>
        <v>3</v>
      </c>
      <c r="C10" s="26" t="s">
        <v>63</v>
      </c>
      <c r="D10" s="15" t="s">
        <v>140</v>
      </c>
      <c r="E10" s="15" t="s">
        <v>277</v>
      </c>
      <c r="F10" s="15" t="s">
        <v>116</v>
      </c>
      <c r="G10" s="15"/>
      <c r="H10" s="15"/>
      <c r="I10" s="15"/>
      <c r="J10" s="21">
        <v>2640</v>
      </c>
      <c r="K10" s="21"/>
      <c r="L10" s="21"/>
      <c r="M10" s="21"/>
      <c r="N10" s="21">
        <v>2640</v>
      </c>
      <c r="O10" s="21"/>
      <c r="P10" s="21"/>
      <c r="Q10" s="21"/>
      <c r="R10" s="21">
        <v>2100</v>
      </c>
      <c r="S10" s="21"/>
      <c r="T10" s="21"/>
      <c r="U10" s="21"/>
      <c r="V10" s="21">
        <v>2400</v>
      </c>
      <c r="W10" s="21"/>
      <c r="X10" s="21"/>
      <c r="Y10" s="21"/>
      <c r="Z10" s="21">
        <v>2700</v>
      </c>
      <c r="AA10" s="21"/>
      <c r="AB10" s="21"/>
      <c r="AC10" s="21"/>
      <c r="AD10" s="21">
        <v>2700</v>
      </c>
      <c r="AE10" s="21"/>
      <c r="AF10" s="21"/>
      <c r="AG10" s="21"/>
      <c r="AH10" s="21">
        <v>2700</v>
      </c>
      <c r="AI10" s="21"/>
      <c r="AJ10" s="21"/>
      <c r="AK10" s="21"/>
      <c r="AL10" s="21">
        <v>2700</v>
      </c>
      <c r="AM10" s="21"/>
      <c r="AN10" s="21"/>
      <c r="AO10" s="21"/>
      <c r="AP10" s="21">
        <v>2700</v>
      </c>
      <c r="AQ10" s="21"/>
      <c r="AR10" s="21"/>
      <c r="AS10" s="21"/>
      <c r="AT10" s="21">
        <v>2550</v>
      </c>
      <c r="AU10" s="21"/>
      <c r="AV10" s="21"/>
      <c r="AW10" s="21"/>
      <c r="AX10" s="21">
        <v>2400</v>
      </c>
      <c r="AY10" s="21"/>
      <c r="AZ10" s="21"/>
      <c r="BA10" s="21"/>
      <c r="BB10" s="21">
        <v>1770</v>
      </c>
      <c r="BC10" s="21"/>
      <c r="BD10" s="21"/>
      <c r="BE10" s="21"/>
      <c r="BF10" s="16">
        <f>J10+N10+R10+V10+Z10+AD10+AH10+AL10+AP10+AT10+AX10+BB10</f>
        <v>30000</v>
      </c>
      <c r="BG10" s="16">
        <f>K10+O10+S10+W10+AA10+AE10+AI10+AM10+AQ10+AU10+AY10+BC10</f>
        <v>0</v>
      </c>
      <c r="BH10" s="16">
        <f>L10+P10+T10+X10+AB10+AF10+AJ10+AN10+AR10+AV10+AZ10+BD10</f>
        <v>0</v>
      </c>
      <c r="BI10" s="16">
        <f>M10+Q10+U10+Y10+AC10+AG10+AK10+AO10+AS10+AW10+BA10+BE10</f>
        <v>0</v>
      </c>
      <c r="BJ10" s="16"/>
      <c r="BK10" s="16"/>
      <c r="BL10" s="16"/>
      <c r="BM10" s="28">
        <f>BK10-BI10</f>
        <v>0</v>
      </c>
    </row>
    <row r="11" spans="2:65" x14ac:dyDescent="0.25">
      <c r="B11" s="14">
        <f>SUBTOTAL(3,$C$8:C11)</f>
        <v>4</v>
      </c>
      <c r="C11" s="26" t="s">
        <v>63</v>
      </c>
      <c r="D11" s="15" t="s">
        <v>71</v>
      </c>
      <c r="E11" s="15" t="s">
        <v>248</v>
      </c>
      <c r="F11" s="15" t="s">
        <v>116</v>
      </c>
      <c r="G11" s="15" t="s">
        <v>152</v>
      </c>
      <c r="H11" s="15" t="s">
        <v>160</v>
      </c>
      <c r="I11" s="15" t="s">
        <v>163</v>
      </c>
      <c r="J11" s="21">
        <v>8190</v>
      </c>
      <c r="K11" s="21">
        <v>6983</v>
      </c>
      <c r="L11" s="21"/>
      <c r="M11" s="21"/>
      <c r="N11" s="21">
        <v>8190</v>
      </c>
      <c r="O11" s="21"/>
      <c r="P11" s="21"/>
      <c r="Q11" s="21"/>
      <c r="R11" s="21">
        <v>6510</v>
      </c>
      <c r="S11" s="21">
        <v>5279</v>
      </c>
      <c r="T11" s="21"/>
      <c r="U11" s="21"/>
      <c r="V11" s="21">
        <v>7440</v>
      </c>
      <c r="W11" s="21"/>
      <c r="X11" s="21">
        <v>0</v>
      </c>
      <c r="Y11" s="21"/>
      <c r="Z11" s="21">
        <v>8370</v>
      </c>
      <c r="AA11" s="21"/>
      <c r="AB11" s="21">
        <v>500</v>
      </c>
      <c r="AC11" s="21"/>
      <c r="AD11" s="21">
        <v>8370</v>
      </c>
      <c r="AE11" s="21"/>
      <c r="AF11" s="21">
        <v>1000</v>
      </c>
      <c r="AG11" s="21"/>
      <c r="AH11" s="21">
        <v>8370</v>
      </c>
      <c r="AI11" s="21"/>
      <c r="AJ11" s="21">
        <v>1000</v>
      </c>
      <c r="AK11" s="21"/>
      <c r="AL11" s="21">
        <v>8370</v>
      </c>
      <c r="AM11" s="21"/>
      <c r="AN11" s="21">
        <v>1000</v>
      </c>
      <c r="AO11" s="21"/>
      <c r="AP11" s="21">
        <v>8370</v>
      </c>
      <c r="AQ11" s="21"/>
      <c r="AR11" s="21">
        <v>1000</v>
      </c>
      <c r="AS11" s="21"/>
      <c r="AT11" s="21">
        <v>7910</v>
      </c>
      <c r="AU11" s="21"/>
      <c r="AV11" s="21">
        <v>1000</v>
      </c>
      <c r="AW11" s="21"/>
      <c r="AX11" s="21">
        <v>7440</v>
      </c>
      <c r="AY11" s="21"/>
      <c r="AZ11" s="21">
        <v>1000</v>
      </c>
      <c r="BA11" s="21"/>
      <c r="BB11" s="21">
        <v>5470</v>
      </c>
      <c r="BC11" s="21"/>
      <c r="BD11" s="21"/>
      <c r="BE11" s="21"/>
      <c r="BF11" s="16">
        <f>J11+N11+R11+V11+Z11+AD11+AH11+AL11+AP11+AT11+AX11+BB11</f>
        <v>93000</v>
      </c>
      <c r="BG11" s="16">
        <f>K11+O11+S11+W11+AA11+AE11+AI11+AM11+AQ11+AU11+AY11+BC11</f>
        <v>12262</v>
      </c>
      <c r="BH11" s="16">
        <f>L11+P11+T11+X11+AB11+AF11+AJ11+AN11+AR11+AV11+AZ11+BD11</f>
        <v>6500</v>
      </c>
      <c r="BI11" s="16">
        <f>M11+Q11+U11+Y11+AC11+AG11+AK11+AO11+AS11+AW11+BA11+BE11</f>
        <v>0</v>
      </c>
      <c r="BJ11" s="16">
        <v>10000</v>
      </c>
      <c r="BK11" s="16">
        <v>5000</v>
      </c>
      <c r="BL11" s="16">
        <v>3000</v>
      </c>
      <c r="BM11" s="28">
        <f>BK11-BI11</f>
        <v>5000</v>
      </c>
    </row>
    <row r="12" spans="2:65" x14ac:dyDescent="0.25">
      <c r="B12" s="14">
        <f>SUBTOTAL(3,$C$8:C12)</f>
        <v>5</v>
      </c>
      <c r="C12" s="26" t="s">
        <v>63</v>
      </c>
      <c r="D12" s="15" t="s">
        <v>141</v>
      </c>
      <c r="E12" s="15" t="s">
        <v>278</v>
      </c>
      <c r="F12" s="15" t="s">
        <v>116</v>
      </c>
      <c r="G12" s="15"/>
      <c r="H12" s="15"/>
      <c r="I12" s="15"/>
      <c r="J12" s="21">
        <v>2640</v>
      </c>
      <c r="K12" s="21"/>
      <c r="L12" s="21"/>
      <c r="M12" s="21"/>
      <c r="N12" s="21">
        <v>2640</v>
      </c>
      <c r="O12" s="21"/>
      <c r="P12" s="21"/>
      <c r="Q12" s="21"/>
      <c r="R12" s="21">
        <v>2100</v>
      </c>
      <c r="S12" s="21"/>
      <c r="T12" s="21"/>
      <c r="U12" s="21"/>
      <c r="V12" s="21">
        <v>2400</v>
      </c>
      <c r="W12" s="21"/>
      <c r="X12" s="21"/>
      <c r="Y12" s="21"/>
      <c r="Z12" s="21">
        <v>2700</v>
      </c>
      <c r="AA12" s="21"/>
      <c r="AB12" s="21"/>
      <c r="AC12" s="21"/>
      <c r="AD12" s="21">
        <v>2700</v>
      </c>
      <c r="AE12" s="21"/>
      <c r="AF12" s="21"/>
      <c r="AG12" s="21"/>
      <c r="AH12" s="21">
        <v>2700</v>
      </c>
      <c r="AI12" s="21"/>
      <c r="AJ12" s="21"/>
      <c r="AK12" s="21"/>
      <c r="AL12" s="21">
        <v>2700</v>
      </c>
      <c r="AM12" s="21"/>
      <c r="AN12" s="21"/>
      <c r="AO12" s="21"/>
      <c r="AP12" s="21">
        <v>2700</v>
      </c>
      <c r="AQ12" s="21"/>
      <c r="AR12" s="21"/>
      <c r="AS12" s="21"/>
      <c r="AT12" s="21">
        <v>2550</v>
      </c>
      <c r="AU12" s="21"/>
      <c r="AV12" s="21"/>
      <c r="AW12" s="21"/>
      <c r="AX12" s="21">
        <v>2400</v>
      </c>
      <c r="AY12" s="21"/>
      <c r="AZ12" s="21"/>
      <c r="BA12" s="21"/>
      <c r="BB12" s="21">
        <v>1770</v>
      </c>
      <c r="BC12" s="21"/>
      <c r="BD12" s="21"/>
      <c r="BE12" s="21"/>
      <c r="BF12" s="16">
        <f>J12+N12+R12+V12+Z12+AD12+AH12+AL12+AP12+AT12+AX12+BB12</f>
        <v>30000</v>
      </c>
      <c r="BG12" s="16">
        <f>K12+O12+S12+W12+AA12+AE12+AI12+AM12+AQ12+AU12+AY12+BC12</f>
        <v>0</v>
      </c>
      <c r="BH12" s="16">
        <f>L12+P12+T12+X12+AB12+AF12+AJ12+AN12+AR12+AV12+AZ12+BD12</f>
        <v>0</v>
      </c>
      <c r="BI12" s="16">
        <f>M12+Q12+U12+Y12+AC12+AG12+AK12+AO12+AS12+AW12+BA12+BE12</f>
        <v>0</v>
      </c>
      <c r="BJ12" s="16"/>
      <c r="BK12" s="16"/>
      <c r="BL12" s="16"/>
      <c r="BM12" s="28">
        <f>BK12-BI12</f>
        <v>0</v>
      </c>
    </row>
    <row r="13" spans="2:65" x14ac:dyDescent="0.25">
      <c r="B13" s="14">
        <f>SUBTOTAL(3,$C$8:C13)</f>
        <v>6</v>
      </c>
      <c r="C13" s="26" t="s">
        <v>63</v>
      </c>
      <c r="D13" s="15" t="s">
        <v>142</v>
      </c>
      <c r="E13" s="15" t="s">
        <v>279</v>
      </c>
      <c r="F13" s="15" t="s">
        <v>116</v>
      </c>
      <c r="G13" s="15"/>
      <c r="H13" s="15"/>
      <c r="I13" s="15"/>
      <c r="J13" s="21">
        <v>2120</v>
      </c>
      <c r="K13" s="21"/>
      <c r="L13" s="21"/>
      <c r="M13" s="21"/>
      <c r="N13" s="21">
        <v>2120</v>
      </c>
      <c r="O13" s="21"/>
      <c r="P13" s="21"/>
      <c r="Q13" s="21"/>
      <c r="R13" s="21">
        <v>1680</v>
      </c>
      <c r="S13" s="21"/>
      <c r="T13" s="21"/>
      <c r="U13" s="21"/>
      <c r="V13" s="21">
        <v>1920</v>
      </c>
      <c r="W13" s="21"/>
      <c r="X13" s="21"/>
      <c r="Y13" s="21"/>
      <c r="Z13" s="21">
        <v>2160</v>
      </c>
      <c r="AA13" s="21"/>
      <c r="AB13" s="21"/>
      <c r="AC13" s="21"/>
      <c r="AD13" s="21">
        <v>2160</v>
      </c>
      <c r="AE13" s="21"/>
      <c r="AF13" s="21"/>
      <c r="AG13" s="21"/>
      <c r="AH13" s="21">
        <v>2160</v>
      </c>
      <c r="AI13" s="21"/>
      <c r="AJ13" s="21"/>
      <c r="AK13" s="21"/>
      <c r="AL13" s="21">
        <v>2160</v>
      </c>
      <c r="AM13" s="21"/>
      <c r="AN13" s="21"/>
      <c r="AO13" s="21"/>
      <c r="AP13" s="21">
        <v>2160</v>
      </c>
      <c r="AQ13" s="21"/>
      <c r="AR13" s="21"/>
      <c r="AS13" s="21"/>
      <c r="AT13" s="21">
        <v>2040</v>
      </c>
      <c r="AU13" s="21"/>
      <c r="AV13" s="21"/>
      <c r="AW13" s="21"/>
      <c r="AX13" s="21">
        <v>1920</v>
      </c>
      <c r="AY13" s="21"/>
      <c r="AZ13" s="21"/>
      <c r="BA13" s="21"/>
      <c r="BB13" s="21">
        <v>1400</v>
      </c>
      <c r="BC13" s="21"/>
      <c r="BD13" s="21"/>
      <c r="BE13" s="21"/>
      <c r="BF13" s="16">
        <f>J13+N13+R13+V13+Z13+AD13+AH13+AL13+AP13+AT13+AX13+BB13</f>
        <v>24000</v>
      </c>
      <c r="BG13" s="16">
        <f>K13+O13+S13+W13+AA13+AE13+AI13+AM13+AQ13+AU13+AY13+BC13</f>
        <v>0</v>
      </c>
      <c r="BH13" s="16">
        <f>L13+P13+T13+X13+AB13+AF13+AJ13+AN13+AR13+AV13+AZ13+BD13</f>
        <v>0</v>
      </c>
      <c r="BI13" s="16">
        <f>M13+Q13+U13+Y13+AC13+AG13+AK13+AO13+AS13+AW13+BA13+BE13</f>
        <v>0</v>
      </c>
      <c r="BJ13" s="16"/>
      <c r="BK13" s="16"/>
      <c r="BL13" s="16"/>
      <c r="BM13" s="28">
        <f>BK13-BI13</f>
        <v>0</v>
      </c>
    </row>
    <row r="14" spans="2:65" x14ac:dyDescent="0.25">
      <c r="B14" s="14">
        <f>SUBTOTAL(3,$C$8:C14)</f>
        <v>7</v>
      </c>
      <c r="C14" s="26" t="s">
        <v>65</v>
      </c>
      <c r="D14" s="15" t="s">
        <v>110</v>
      </c>
      <c r="E14" s="15" t="s">
        <v>267</v>
      </c>
      <c r="F14" s="15" t="s">
        <v>118</v>
      </c>
      <c r="G14" s="15" t="s">
        <v>179</v>
      </c>
      <c r="H14" s="15" t="s">
        <v>179</v>
      </c>
      <c r="I14" s="15" t="s">
        <v>182</v>
      </c>
      <c r="J14" s="21">
        <v>1060</v>
      </c>
      <c r="K14" s="21">
        <v>2696</v>
      </c>
      <c r="L14" s="21"/>
      <c r="M14" s="21">
        <v>1807</v>
      </c>
      <c r="N14" s="21">
        <v>1060</v>
      </c>
      <c r="O14" s="21">
        <v>2170</v>
      </c>
      <c r="P14" s="21"/>
      <c r="Q14" s="21">
        <v>383</v>
      </c>
      <c r="R14" s="21">
        <v>840</v>
      </c>
      <c r="S14" s="21">
        <v>740</v>
      </c>
      <c r="T14" s="21"/>
      <c r="U14" s="21">
        <v>0</v>
      </c>
      <c r="V14" s="21">
        <v>960</v>
      </c>
      <c r="W14" s="21"/>
      <c r="X14" s="21">
        <v>0</v>
      </c>
      <c r="Y14" s="21"/>
      <c r="Z14" s="21">
        <v>1080</v>
      </c>
      <c r="AA14" s="21"/>
      <c r="AB14" s="21">
        <v>500</v>
      </c>
      <c r="AC14" s="21"/>
      <c r="AD14" s="21">
        <v>1080</v>
      </c>
      <c r="AE14" s="21"/>
      <c r="AF14" s="21">
        <v>500</v>
      </c>
      <c r="AG14" s="21"/>
      <c r="AH14" s="21">
        <v>1080</v>
      </c>
      <c r="AI14" s="21"/>
      <c r="AJ14" s="21">
        <v>500</v>
      </c>
      <c r="AK14" s="21"/>
      <c r="AL14" s="21">
        <v>1080</v>
      </c>
      <c r="AM14" s="21"/>
      <c r="AN14" s="21">
        <v>500</v>
      </c>
      <c r="AO14" s="21"/>
      <c r="AP14" s="21">
        <v>1080</v>
      </c>
      <c r="AQ14" s="21"/>
      <c r="AR14" s="21">
        <v>500</v>
      </c>
      <c r="AS14" s="21"/>
      <c r="AT14" s="21">
        <v>1020</v>
      </c>
      <c r="AU14" s="21"/>
      <c r="AV14" s="21">
        <v>500</v>
      </c>
      <c r="AW14" s="21"/>
      <c r="AX14" s="21">
        <v>960</v>
      </c>
      <c r="AY14" s="21"/>
      <c r="AZ14" s="21"/>
      <c r="BA14" s="21"/>
      <c r="BB14" s="21">
        <v>700</v>
      </c>
      <c r="BC14" s="21"/>
      <c r="BD14" s="21"/>
      <c r="BE14" s="21"/>
      <c r="BF14" s="16">
        <f>J14+N14+R14+V14+Z14+AD14+AH14+AL14+AP14+AT14+AX14+BB14</f>
        <v>12000</v>
      </c>
      <c r="BG14" s="16">
        <f>K14+O14+S14+W14+AA14+AE14+AI14+AM14+AQ14+AU14+AY14+BC14</f>
        <v>5606</v>
      </c>
      <c r="BH14" s="16">
        <f>L14+P14+T14+X14+AB14+AF14+AJ14+AN14+AR14+AV14+AZ14+BD14</f>
        <v>3000</v>
      </c>
      <c r="BI14" s="16">
        <f>M14+Q14+U14+Y14+AC14+AG14+AK14+AO14+AS14+AW14+BA14+BE14</f>
        <v>2190</v>
      </c>
      <c r="BJ14" s="16">
        <v>7500</v>
      </c>
      <c r="BK14" s="16">
        <v>5000</v>
      </c>
      <c r="BL14" s="16">
        <v>3500</v>
      </c>
      <c r="BM14" s="28">
        <f>BK14-BI14</f>
        <v>2810</v>
      </c>
    </row>
    <row r="15" spans="2:65" x14ac:dyDescent="0.25">
      <c r="B15" s="14">
        <f>SUBTOTAL(3,$C$8:C15)</f>
        <v>8</v>
      </c>
      <c r="C15" s="26" t="s">
        <v>66</v>
      </c>
      <c r="D15" s="15" t="s">
        <v>143</v>
      </c>
      <c r="E15" s="15" t="s">
        <v>280</v>
      </c>
      <c r="F15" s="15" t="s">
        <v>118</v>
      </c>
      <c r="G15" s="15"/>
      <c r="H15" s="15"/>
      <c r="I15" s="15"/>
      <c r="J15" s="21">
        <v>4620</v>
      </c>
      <c r="K15" s="21"/>
      <c r="L15" s="21"/>
      <c r="M15" s="21"/>
      <c r="N15" s="21">
        <v>4620</v>
      </c>
      <c r="O15" s="21"/>
      <c r="P15" s="21"/>
      <c r="Q15" s="21"/>
      <c r="R15" s="21">
        <v>3680</v>
      </c>
      <c r="S15" s="21"/>
      <c r="T15" s="21"/>
      <c r="U15" s="21"/>
      <c r="V15" s="21">
        <v>4200</v>
      </c>
      <c r="W15" s="21"/>
      <c r="X15" s="21"/>
      <c r="Y15" s="21"/>
      <c r="Z15" s="21">
        <v>4730</v>
      </c>
      <c r="AA15" s="21"/>
      <c r="AB15" s="21"/>
      <c r="AC15" s="21"/>
      <c r="AD15" s="21">
        <v>4730</v>
      </c>
      <c r="AE15" s="21"/>
      <c r="AF15" s="21"/>
      <c r="AG15" s="21"/>
      <c r="AH15" s="21">
        <v>4730</v>
      </c>
      <c r="AI15" s="21"/>
      <c r="AJ15" s="21"/>
      <c r="AK15" s="21"/>
      <c r="AL15" s="21">
        <v>4730</v>
      </c>
      <c r="AM15" s="21"/>
      <c r="AN15" s="21"/>
      <c r="AO15" s="21"/>
      <c r="AP15" s="21">
        <v>4730</v>
      </c>
      <c r="AQ15" s="21"/>
      <c r="AR15" s="21"/>
      <c r="AS15" s="21"/>
      <c r="AT15" s="21">
        <v>4470</v>
      </c>
      <c r="AU15" s="21"/>
      <c r="AV15" s="21"/>
      <c r="AW15" s="21"/>
      <c r="AX15" s="21">
        <v>4200</v>
      </c>
      <c r="AY15" s="21"/>
      <c r="AZ15" s="21"/>
      <c r="BA15" s="21"/>
      <c r="BB15" s="21">
        <v>3060</v>
      </c>
      <c r="BC15" s="21"/>
      <c r="BD15" s="21"/>
      <c r="BE15" s="21"/>
      <c r="BF15" s="16">
        <f>J15+N15+R15+V15+Z15+AD15+AH15+AL15+AP15+AT15+AX15+BB15</f>
        <v>52500</v>
      </c>
      <c r="BG15" s="16">
        <f>K15+O15+S15+W15+AA15+AE15+AI15+AM15+AQ15+AU15+AY15+BC15</f>
        <v>0</v>
      </c>
      <c r="BH15" s="16">
        <f>L15+P15+T15+X15+AB15+AF15+AJ15+AN15+AR15+AV15+AZ15+BD15</f>
        <v>0</v>
      </c>
      <c r="BI15" s="16">
        <f>M15+Q15+U15+Y15+AC15+AG15+AK15+AO15+AS15+AW15+BA15+BE15</f>
        <v>0</v>
      </c>
      <c r="BJ15" s="16"/>
      <c r="BK15" s="16"/>
      <c r="BL15" s="16"/>
      <c r="BM15" s="28">
        <f>BK15-BI15</f>
        <v>0</v>
      </c>
    </row>
    <row r="16" spans="2:65" x14ac:dyDescent="0.25">
      <c r="B16" s="14">
        <f>SUBTOTAL(3,$C$8:C16)</f>
        <v>9</v>
      </c>
      <c r="C16" s="26" t="s">
        <v>63</v>
      </c>
      <c r="D16" s="15" t="s">
        <v>144</v>
      </c>
      <c r="E16" s="15" t="s">
        <v>144</v>
      </c>
      <c r="F16" s="15" t="s">
        <v>116</v>
      </c>
      <c r="G16" s="15"/>
      <c r="H16" s="15"/>
      <c r="I16" s="15"/>
      <c r="J16" s="21">
        <v>3700</v>
      </c>
      <c r="K16" s="21"/>
      <c r="L16" s="21"/>
      <c r="M16" s="21"/>
      <c r="N16" s="21">
        <v>3700</v>
      </c>
      <c r="O16" s="21"/>
      <c r="P16" s="21"/>
      <c r="Q16" s="21"/>
      <c r="R16" s="21">
        <v>2940</v>
      </c>
      <c r="S16" s="21"/>
      <c r="T16" s="21"/>
      <c r="U16" s="21"/>
      <c r="V16" s="21">
        <v>3360</v>
      </c>
      <c r="W16" s="21"/>
      <c r="X16" s="21"/>
      <c r="Y16" s="21"/>
      <c r="Z16" s="21">
        <v>3780</v>
      </c>
      <c r="AA16" s="21"/>
      <c r="AB16" s="21"/>
      <c r="AC16" s="21"/>
      <c r="AD16" s="21">
        <v>3780</v>
      </c>
      <c r="AE16" s="21"/>
      <c r="AF16" s="21"/>
      <c r="AG16" s="21"/>
      <c r="AH16" s="21">
        <v>3780</v>
      </c>
      <c r="AI16" s="21"/>
      <c r="AJ16" s="21"/>
      <c r="AK16" s="21"/>
      <c r="AL16" s="21">
        <v>3780</v>
      </c>
      <c r="AM16" s="21"/>
      <c r="AN16" s="21"/>
      <c r="AO16" s="21"/>
      <c r="AP16" s="21">
        <v>3780</v>
      </c>
      <c r="AQ16" s="21"/>
      <c r="AR16" s="21"/>
      <c r="AS16" s="21"/>
      <c r="AT16" s="21">
        <v>3570</v>
      </c>
      <c r="AU16" s="21"/>
      <c r="AV16" s="21"/>
      <c r="AW16" s="21"/>
      <c r="AX16" s="21">
        <v>3360</v>
      </c>
      <c r="AY16" s="21"/>
      <c r="AZ16" s="21"/>
      <c r="BA16" s="21"/>
      <c r="BB16" s="21">
        <v>2470</v>
      </c>
      <c r="BC16" s="21"/>
      <c r="BD16" s="21"/>
      <c r="BE16" s="21"/>
      <c r="BF16" s="16">
        <f>J16+N16+R16+V16+Z16+AD16+AH16+AL16+AP16+AT16+AX16+BB16</f>
        <v>42000</v>
      </c>
      <c r="BG16" s="16">
        <f>K16+O16+S16+W16+AA16+AE16+AI16+AM16+AQ16+AU16+AY16+BC16</f>
        <v>0</v>
      </c>
      <c r="BH16" s="16">
        <f>L16+P16+T16+X16+AB16+AF16+AJ16+AN16+AR16+AV16+AZ16+BD16</f>
        <v>0</v>
      </c>
      <c r="BI16" s="16">
        <f>M16+Q16+U16+Y16+AC16+AG16+AK16+AO16+AS16+AW16+BA16+BE16</f>
        <v>0</v>
      </c>
      <c r="BJ16" s="16"/>
      <c r="BK16" s="16"/>
      <c r="BL16" s="16"/>
      <c r="BM16" s="28">
        <f>BK16-BI16</f>
        <v>0</v>
      </c>
    </row>
    <row r="17" spans="2:65" x14ac:dyDescent="0.25">
      <c r="B17" s="14">
        <f>SUBTOTAL(3,$C$8:C17)</f>
        <v>10</v>
      </c>
      <c r="C17" s="26" t="s">
        <v>63</v>
      </c>
      <c r="D17" s="15" t="s">
        <v>102</v>
      </c>
      <c r="E17" s="15" t="s">
        <v>102</v>
      </c>
      <c r="F17" s="15" t="s">
        <v>116</v>
      </c>
      <c r="G17" s="15" t="s">
        <v>152</v>
      </c>
      <c r="H17" s="15" t="s">
        <v>153</v>
      </c>
      <c r="I17" s="15" t="s">
        <v>156</v>
      </c>
      <c r="J17" s="21">
        <v>2910</v>
      </c>
      <c r="K17" s="21">
        <v>6432</v>
      </c>
      <c r="L17" s="21"/>
      <c r="M17" s="21">
        <v>1033</v>
      </c>
      <c r="N17" s="21">
        <v>2910</v>
      </c>
      <c r="O17" s="21">
        <v>3850</v>
      </c>
      <c r="P17" s="21"/>
      <c r="Q17" s="21">
        <v>650</v>
      </c>
      <c r="R17" s="21">
        <v>2310</v>
      </c>
      <c r="S17" s="21">
        <v>2486</v>
      </c>
      <c r="T17" s="21"/>
      <c r="U17" s="21">
        <v>0</v>
      </c>
      <c r="V17" s="21">
        <v>2640</v>
      </c>
      <c r="W17" s="21"/>
      <c r="X17" s="21">
        <v>2760</v>
      </c>
      <c r="Y17" s="21"/>
      <c r="Z17" s="21">
        <v>2970</v>
      </c>
      <c r="AA17" s="21"/>
      <c r="AB17" s="21">
        <v>2000</v>
      </c>
      <c r="AC17" s="21"/>
      <c r="AD17" s="21">
        <v>2970</v>
      </c>
      <c r="AE17" s="21"/>
      <c r="AF17" s="21">
        <v>2000</v>
      </c>
      <c r="AG17" s="21"/>
      <c r="AH17" s="21">
        <v>2970</v>
      </c>
      <c r="AI17" s="21"/>
      <c r="AJ17" s="21">
        <v>2000</v>
      </c>
      <c r="AK17" s="21"/>
      <c r="AL17" s="21">
        <v>2970</v>
      </c>
      <c r="AM17" s="21"/>
      <c r="AN17" s="21">
        <v>2000</v>
      </c>
      <c r="AO17" s="21"/>
      <c r="AP17" s="21">
        <v>2970</v>
      </c>
      <c r="AQ17" s="21"/>
      <c r="AR17" s="21">
        <v>2000</v>
      </c>
      <c r="AS17" s="21"/>
      <c r="AT17" s="21">
        <v>2810</v>
      </c>
      <c r="AU17" s="21"/>
      <c r="AV17" s="21">
        <v>2000</v>
      </c>
      <c r="AW17" s="21"/>
      <c r="AX17" s="21">
        <v>2640</v>
      </c>
      <c r="AY17" s="21"/>
      <c r="AZ17" s="21">
        <v>2000</v>
      </c>
      <c r="BA17" s="21"/>
      <c r="BB17" s="21">
        <v>1930</v>
      </c>
      <c r="BC17" s="21"/>
      <c r="BD17" s="21"/>
      <c r="BE17" s="21"/>
      <c r="BF17" s="16">
        <f>J17+N17+R17+V17+Z17+AD17+AH17+AL17+AP17+AT17+AX17+BB17</f>
        <v>33000</v>
      </c>
      <c r="BG17" s="16">
        <f>K17+O17+S17+W17+AA17+AE17+AI17+AM17+AQ17+AU17+AY17+BC17</f>
        <v>12768</v>
      </c>
      <c r="BH17" s="16">
        <f>L17+P17+T17+X17+AB17+AF17+AJ17+AN17+AR17+AV17+AZ17+BD17</f>
        <v>16760</v>
      </c>
      <c r="BI17" s="16">
        <f>M17+Q17+U17+Y17+AC17+AG17+AK17+AO17+AS17+AW17+BA17+BE17</f>
        <v>1683</v>
      </c>
      <c r="BJ17" s="16">
        <v>20000</v>
      </c>
      <c r="BK17" s="16">
        <v>15000</v>
      </c>
      <c r="BL17" s="16">
        <v>10000</v>
      </c>
      <c r="BM17" s="28">
        <f>BK17-BI17</f>
        <v>13317</v>
      </c>
    </row>
    <row r="18" spans="2:65" x14ac:dyDescent="0.25">
      <c r="B18" s="14">
        <f>SUBTOTAL(3,$C$8:C18)</f>
        <v>11</v>
      </c>
      <c r="C18" s="26" t="s">
        <v>63</v>
      </c>
      <c r="D18" s="15" t="s">
        <v>102</v>
      </c>
      <c r="E18" s="15" t="s">
        <v>245</v>
      </c>
      <c r="F18" s="15" t="s">
        <v>116</v>
      </c>
      <c r="G18" s="15" t="s">
        <v>152</v>
      </c>
      <c r="H18" s="15" t="s">
        <v>154</v>
      </c>
      <c r="I18" s="15" t="s">
        <v>157</v>
      </c>
      <c r="J18" s="21">
        <v>2640</v>
      </c>
      <c r="K18" s="21"/>
      <c r="L18" s="21"/>
      <c r="M18" s="21">
        <v>0</v>
      </c>
      <c r="N18" s="21">
        <v>2640</v>
      </c>
      <c r="O18" s="21">
        <v>3182</v>
      </c>
      <c r="P18" s="21"/>
      <c r="Q18" s="21">
        <v>796</v>
      </c>
      <c r="R18" s="21">
        <v>2100</v>
      </c>
      <c r="S18" s="21">
        <v>1992</v>
      </c>
      <c r="T18" s="21"/>
      <c r="U18" s="21">
        <v>772</v>
      </c>
      <c r="V18" s="21">
        <v>2400</v>
      </c>
      <c r="W18" s="21"/>
      <c r="X18" s="21">
        <v>3731</v>
      </c>
      <c r="Y18" s="21"/>
      <c r="Z18" s="21">
        <v>2700</v>
      </c>
      <c r="AA18" s="21"/>
      <c r="AB18" s="21">
        <v>2000</v>
      </c>
      <c r="AC18" s="21"/>
      <c r="AD18" s="21">
        <v>2700</v>
      </c>
      <c r="AE18" s="21"/>
      <c r="AF18" s="21">
        <v>2000</v>
      </c>
      <c r="AG18" s="21"/>
      <c r="AH18" s="21">
        <v>2700</v>
      </c>
      <c r="AI18" s="21"/>
      <c r="AJ18" s="21">
        <v>2000</v>
      </c>
      <c r="AK18" s="21"/>
      <c r="AL18" s="21">
        <v>2700</v>
      </c>
      <c r="AM18" s="21"/>
      <c r="AN18" s="21">
        <v>2500</v>
      </c>
      <c r="AO18" s="21"/>
      <c r="AP18" s="21">
        <v>2700</v>
      </c>
      <c r="AQ18" s="21"/>
      <c r="AR18" s="21">
        <v>2500</v>
      </c>
      <c r="AS18" s="21"/>
      <c r="AT18" s="21">
        <v>2550</v>
      </c>
      <c r="AU18" s="21"/>
      <c r="AV18" s="21">
        <v>2500</v>
      </c>
      <c r="AW18" s="21"/>
      <c r="AX18" s="21">
        <v>2400</v>
      </c>
      <c r="AY18" s="21"/>
      <c r="AZ18" s="21">
        <v>2500</v>
      </c>
      <c r="BA18" s="21"/>
      <c r="BB18" s="21">
        <v>1770</v>
      </c>
      <c r="BC18" s="21"/>
      <c r="BD18" s="21"/>
      <c r="BE18" s="21"/>
      <c r="BF18" s="16">
        <f>J18+N18+R18+V18+Z18+AD18+AH18+AL18+AP18+AT18+AX18+BB18</f>
        <v>30000</v>
      </c>
      <c r="BG18" s="16">
        <f>K18+O18+S18+W18+AA18+AE18+AI18+AM18+AQ18+AU18+AY18+BC18</f>
        <v>5174</v>
      </c>
      <c r="BH18" s="16">
        <f>L18+P18+T18+X18+AB18+AF18+AJ18+AN18+AR18+AV18+AZ18+BD18</f>
        <v>19731</v>
      </c>
      <c r="BI18" s="16">
        <f>M18+Q18+U18+Y18+AC18+AG18+AK18+AO18+AS18+AW18+BA18+BE18</f>
        <v>1568</v>
      </c>
      <c r="BJ18" s="16">
        <v>20000</v>
      </c>
      <c r="BK18" s="16">
        <v>15000</v>
      </c>
      <c r="BL18" s="16">
        <v>10000</v>
      </c>
      <c r="BM18" s="28">
        <f>BK18-BI18</f>
        <v>13432</v>
      </c>
    </row>
    <row r="19" spans="2:65" x14ac:dyDescent="0.25">
      <c r="B19" s="14">
        <f>SUBTOTAL(3,$C$8:C19)</f>
        <v>12</v>
      </c>
      <c r="C19" s="26" t="s">
        <v>66</v>
      </c>
      <c r="D19" s="15" t="s">
        <v>114</v>
      </c>
      <c r="E19" s="15" t="s">
        <v>272</v>
      </c>
      <c r="F19" s="15" t="s">
        <v>118</v>
      </c>
      <c r="G19" s="15" t="s">
        <v>186</v>
      </c>
      <c r="H19" s="15" t="s">
        <v>191</v>
      </c>
      <c r="I19" s="15" t="s">
        <v>192</v>
      </c>
      <c r="J19" s="21">
        <v>11580</v>
      </c>
      <c r="K19" s="21">
        <v>5479</v>
      </c>
      <c r="L19" s="21"/>
      <c r="M19" s="21">
        <v>0</v>
      </c>
      <c r="N19" s="21">
        <v>11580</v>
      </c>
      <c r="O19" s="21">
        <v>7004</v>
      </c>
      <c r="P19" s="21"/>
      <c r="Q19" s="21">
        <v>1211</v>
      </c>
      <c r="R19" s="21">
        <v>9210</v>
      </c>
      <c r="S19" s="21">
        <v>3472</v>
      </c>
      <c r="T19" s="21"/>
      <c r="U19" s="21">
        <v>452</v>
      </c>
      <c r="V19" s="21">
        <v>10520</v>
      </c>
      <c r="W19" s="21"/>
      <c r="X19" s="21">
        <v>749</v>
      </c>
      <c r="Y19" s="21"/>
      <c r="Z19" s="21">
        <v>11840</v>
      </c>
      <c r="AA19" s="21"/>
      <c r="AB19" s="21">
        <v>1000</v>
      </c>
      <c r="AC19" s="21"/>
      <c r="AD19" s="21">
        <v>11840</v>
      </c>
      <c r="AE19" s="21"/>
      <c r="AF19" s="21">
        <v>1000</v>
      </c>
      <c r="AG19" s="21"/>
      <c r="AH19" s="21">
        <v>11840</v>
      </c>
      <c r="AI19" s="21"/>
      <c r="AJ19" s="21">
        <v>1500</v>
      </c>
      <c r="AK19" s="21"/>
      <c r="AL19" s="21">
        <v>11840</v>
      </c>
      <c r="AM19" s="21"/>
      <c r="AN19" s="21">
        <v>1500</v>
      </c>
      <c r="AO19" s="21"/>
      <c r="AP19" s="21">
        <v>11840</v>
      </c>
      <c r="AQ19" s="21"/>
      <c r="AR19" s="21">
        <v>1500</v>
      </c>
      <c r="AS19" s="21"/>
      <c r="AT19" s="21">
        <v>11180</v>
      </c>
      <c r="AU19" s="21"/>
      <c r="AV19" s="21">
        <v>1500</v>
      </c>
      <c r="AW19" s="21"/>
      <c r="AX19" s="21">
        <v>10520</v>
      </c>
      <c r="AY19" s="21"/>
      <c r="AZ19" s="21">
        <v>2000</v>
      </c>
      <c r="BA19" s="21"/>
      <c r="BB19" s="21">
        <v>7710</v>
      </c>
      <c r="BC19" s="21"/>
      <c r="BD19" s="21"/>
      <c r="BE19" s="21"/>
      <c r="BF19" s="16">
        <f>J19+N19+R19+V19+Z19+AD19+AH19+AL19+AP19+AT19+AX19+BB19</f>
        <v>131500</v>
      </c>
      <c r="BG19" s="16">
        <f>K19+O19+S19+W19+AA19+AE19+AI19+AM19+AQ19+AU19+AY19+BC19</f>
        <v>15955</v>
      </c>
      <c r="BH19" s="16">
        <f>L19+P19+T19+X19+AB19+AF19+AJ19+AN19+AR19+AV19+AZ19+BD19</f>
        <v>10749</v>
      </c>
      <c r="BI19" s="16">
        <f>M19+Q19+U19+Y19+AC19+AG19+AK19+AO19+AS19+AW19+BA19+BE19</f>
        <v>1663</v>
      </c>
      <c r="BJ19" s="16">
        <v>15000</v>
      </c>
      <c r="BK19" s="16">
        <v>10000</v>
      </c>
      <c r="BL19" s="16">
        <v>8000</v>
      </c>
      <c r="BM19" s="28">
        <f>BK19-BI19</f>
        <v>8337</v>
      </c>
    </row>
    <row r="20" spans="2:65" x14ac:dyDescent="0.25">
      <c r="B20" s="14">
        <f>SUBTOTAL(3,$C$8:C20)</f>
        <v>13</v>
      </c>
      <c r="C20" s="26" t="s">
        <v>64</v>
      </c>
      <c r="D20" s="15" t="s">
        <v>103</v>
      </c>
      <c r="E20" s="15" t="s">
        <v>250</v>
      </c>
      <c r="F20" s="15" t="s">
        <v>117</v>
      </c>
      <c r="G20" s="15" t="s">
        <v>166</v>
      </c>
      <c r="H20" s="15" t="s">
        <v>167</v>
      </c>
      <c r="I20" s="15"/>
      <c r="J20" s="21">
        <v>3700</v>
      </c>
      <c r="K20" s="21">
        <v>2719</v>
      </c>
      <c r="L20" s="21"/>
      <c r="M20" s="21"/>
      <c r="N20" s="21">
        <v>3700</v>
      </c>
      <c r="O20" s="21">
        <v>2305</v>
      </c>
      <c r="P20" s="21"/>
      <c r="Q20" s="21"/>
      <c r="R20" s="21">
        <v>2940</v>
      </c>
      <c r="S20" s="21">
        <v>2118</v>
      </c>
      <c r="T20" s="21"/>
      <c r="U20" s="21"/>
      <c r="V20" s="21">
        <v>3360</v>
      </c>
      <c r="W20" s="21"/>
      <c r="X20" s="21">
        <v>0</v>
      </c>
      <c r="Y20" s="21"/>
      <c r="Z20" s="21">
        <v>3780</v>
      </c>
      <c r="AA20" s="21"/>
      <c r="AB20" s="21">
        <v>700</v>
      </c>
      <c r="AC20" s="21"/>
      <c r="AD20" s="21">
        <v>3780</v>
      </c>
      <c r="AE20" s="21"/>
      <c r="AF20" s="21">
        <v>700</v>
      </c>
      <c r="AG20" s="21"/>
      <c r="AH20" s="21">
        <v>3780</v>
      </c>
      <c r="AI20" s="21"/>
      <c r="AJ20" s="21">
        <v>1000</v>
      </c>
      <c r="AK20" s="21"/>
      <c r="AL20" s="21">
        <v>3780</v>
      </c>
      <c r="AM20" s="21"/>
      <c r="AN20" s="21">
        <v>1000</v>
      </c>
      <c r="AO20" s="21"/>
      <c r="AP20" s="21">
        <v>3780</v>
      </c>
      <c r="AQ20" s="21"/>
      <c r="AR20" s="21">
        <v>700</v>
      </c>
      <c r="AS20" s="21"/>
      <c r="AT20" s="21">
        <v>3570</v>
      </c>
      <c r="AU20" s="21"/>
      <c r="AV20" s="21">
        <v>700</v>
      </c>
      <c r="AW20" s="21"/>
      <c r="AX20" s="21">
        <v>3360</v>
      </c>
      <c r="AY20" s="21"/>
      <c r="AZ20" s="21">
        <v>700</v>
      </c>
      <c r="BA20" s="21"/>
      <c r="BB20" s="21">
        <v>2470</v>
      </c>
      <c r="BC20" s="21"/>
      <c r="BD20" s="21"/>
      <c r="BE20" s="21"/>
      <c r="BF20" s="16">
        <f>J20+N20+R20+V20+Z20+AD20+AH20+AL20+AP20+AT20+AX20+BB20</f>
        <v>42000</v>
      </c>
      <c r="BG20" s="16">
        <f>K20+O20+S20+W20+AA20+AE20+AI20+AM20+AQ20+AU20+AY20+BC20</f>
        <v>7142</v>
      </c>
      <c r="BH20" s="16">
        <f>L20+P20+T20+X20+AB20+AF20+AJ20+AN20+AR20+AV20+AZ20+BD20</f>
        <v>5500</v>
      </c>
      <c r="BI20" s="16">
        <f>M20+Q20+U20+Y20+AC20+AG20+AK20+AO20+AS20+AW20+BA20+BE20</f>
        <v>0</v>
      </c>
      <c r="BJ20" s="16">
        <v>10000</v>
      </c>
      <c r="BK20" s="16">
        <v>5000</v>
      </c>
      <c r="BL20" s="16">
        <v>3000</v>
      </c>
      <c r="BM20" s="28">
        <f>BK20-BI20</f>
        <v>5000</v>
      </c>
    </row>
    <row r="21" spans="2:65" x14ac:dyDescent="0.25">
      <c r="B21" s="14">
        <f>SUBTOTAL(3,$C$8:C21)</f>
        <v>14</v>
      </c>
      <c r="C21" s="26" t="s">
        <v>63</v>
      </c>
      <c r="D21" s="15" t="s">
        <v>102</v>
      </c>
      <c r="E21" s="15" t="s">
        <v>246</v>
      </c>
      <c r="F21" s="15" t="s">
        <v>116</v>
      </c>
      <c r="G21" s="15" t="s">
        <v>152</v>
      </c>
      <c r="H21" s="15" t="s">
        <v>155</v>
      </c>
      <c r="I21" s="15" t="s">
        <v>156</v>
      </c>
      <c r="J21" s="21">
        <v>2640</v>
      </c>
      <c r="K21" s="21">
        <v>566</v>
      </c>
      <c r="L21" s="21"/>
      <c r="M21" s="21">
        <v>0</v>
      </c>
      <c r="N21" s="21">
        <v>2640</v>
      </c>
      <c r="O21" s="21">
        <v>2165</v>
      </c>
      <c r="P21" s="21"/>
      <c r="Q21" s="21">
        <v>882</v>
      </c>
      <c r="R21" s="21">
        <v>2100</v>
      </c>
      <c r="S21" s="21">
        <v>1904</v>
      </c>
      <c r="T21" s="21"/>
      <c r="U21" s="21">
        <v>190</v>
      </c>
      <c r="V21" s="21">
        <v>2400</v>
      </c>
      <c r="W21" s="21"/>
      <c r="X21" s="21">
        <v>934</v>
      </c>
      <c r="Y21" s="21"/>
      <c r="Z21" s="21">
        <v>2700</v>
      </c>
      <c r="AA21" s="21"/>
      <c r="AB21" s="21">
        <v>2500</v>
      </c>
      <c r="AC21" s="21"/>
      <c r="AD21" s="21">
        <v>2700</v>
      </c>
      <c r="AE21" s="21"/>
      <c r="AF21" s="21">
        <v>2000</v>
      </c>
      <c r="AG21" s="21"/>
      <c r="AH21" s="21">
        <v>2700</v>
      </c>
      <c r="AI21" s="21"/>
      <c r="AJ21" s="21">
        <v>2000</v>
      </c>
      <c r="AK21" s="21"/>
      <c r="AL21" s="21">
        <v>2700</v>
      </c>
      <c r="AM21" s="21"/>
      <c r="AN21" s="21">
        <v>2500</v>
      </c>
      <c r="AO21" s="21"/>
      <c r="AP21" s="21">
        <v>2700</v>
      </c>
      <c r="AQ21" s="21"/>
      <c r="AR21" s="21">
        <v>2500</v>
      </c>
      <c r="AS21" s="21"/>
      <c r="AT21" s="21">
        <v>2550</v>
      </c>
      <c r="AU21" s="21"/>
      <c r="AV21" s="21">
        <v>2500</v>
      </c>
      <c r="AW21" s="21"/>
      <c r="AX21" s="21">
        <v>2400</v>
      </c>
      <c r="AY21" s="21"/>
      <c r="AZ21" s="21">
        <v>2500</v>
      </c>
      <c r="BA21" s="21"/>
      <c r="BB21" s="21">
        <v>1770</v>
      </c>
      <c r="BC21" s="21"/>
      <c r="BD21" s="21"/>
      <c r="BE21" s="21"/>
      <c r="BF21" s="16">
        <f>J21+N21+R21+V21+Z21+AD21+AH21+AL21+AP21+AT21+AX21+BB21</f>
        <v>30000</v>
      </c>
      <c r="BG21" s="16">
        <f>K21+O21+S21+W21+AA21+AE21+AI21+AM21+AQ21+AU21+AY21+BC21</f>
        <v>4635</v>
      </c>
      <c r="BH21" s="16">
        <f>L21+P21+T21+X21+AB21+AF21+AJ21+AN21+AR21+AV21+AZ21+BD21</f>
        <v>17434</v>
      </c>
      <c r="BI21" s="16">
        <f>M21+Q21+U21+Y21+AC21+AG21+AK21+AO21+AS21+AW21+BA21+BE21</f>
        <v>1072</v>
      </c>
      <c r="BJ21" s="16">
        <v>20000</v>
      </c>
      <c r="BK21" s="16">
        <v>15000</v>
      </c>
      <c r="BL21" s="16">
        <v>10000</v>
      </c>
      <c r="BM21" s="28">
        <f>BK21-BI21</f>
        <v>13928</v>
      </c>
    </row>
    <row r="22" spans="2:65" x14ac:dyDescent="0.25">
      <c r="B22" s="14">
        <f>SUBTOTAL(3,$C$8:C22)</f>
        <v>15</v>
      </c>
      <c r="C22" s="26" t="s">
        <v>66</v>
      </c>
      <c r="D22" s="15" t="s">
        <v>145</v>
      </c>
      <c r="E22" s="15" t="s">
        <v>281</v>
      </c>
      <c r="F22" s="15" t="s">
        <v>118</v>
      </c>
      <c r="G22" s="15"/>
      <c r="H22" s="15"/>
      <c r="I22" s="15"/>
      <c r="J22" s="21">
        <v>3700</v>
      </c>
      <c r="K22" s="21"/>
      <c r="L22" s="21"/>
      <c r="M22" s="21"/>
      <c r="N22" s="21">
        <v>3700</v>
      </c>
      <c r="O22" s="21"/>
      <c r="P22" s="21"/>
      <c r="Q22" s="21"/>
      <c r="R22" s="21">
        <v>2940</v>
      </c>
      <c r="S22" s="21"/>
      <c r="T22" s="21"/>
      <c r="U22" s="21"/>
      <c r="V22" s="21">
        <v>3360</v>
      </c>
      <c r="W22" s="21"/>
      <c r="X22" s="21"/>
      <c r="Y22" s="21"/>
      <c r="Z22" s="21">
        <v>3780</v>
      </c>
      <c r="AA22" s="21"/>
      <c r="AB22" s="21"/>
      <c r="AC22" s="21"/>
      <c r="AD22" s="21">
        <v>3780</v>
      </c>
      <c r="AE22" s="21"/>
      <c r="AF22" s="21"/>
      <c r="AG22" s="21"/>
      <c r="AH22" s="21">
        <v>3780</v>
      </c>
      <c r="AI22" s="21"/>
      <c r="AJ22" s="21"/>
      <c r="AK22" s="21"/>
      <c r="AL22" s="21">
        <v>3780</v>
      </c>
      <c r="AM22" s="21"/>
      <c r="AN22" s="21"/>
      <c r="AO22" s="21"/>
      <c r="AP22" s="21">
        <v>3780</v>
      </c>
      <c r="AQ22" s="21"/>
      <c r="AR22" s="21"/>
      <c r="AS22" s="21"/>
      <c r="AT22" s="21">
        <v>3570</v>
      </c>
      <c r="AU22" s="21"/>
      <c r="AV22" s="21"/>
      <c r="AW22" s="21"/>
      <c r="AX22" s="21">
        <v>3360</v>
      </c>
      <c r="AY22" s="21"/>
      <c r="AZ22" s="21"/>
      <c r="BA22" s="21"/>
      <c r="BB22" s="21">
        <v>2470</v>
      </c>
      <c r="BC22" s="21"/>
      <c r="BD22" s="21"/>
      <c r="BE22" s="21"/>
      <c r="BF22" s="16">
        <f>J22+N22+R22+V22+Z22+AD22+AH22+AL22+AP22+AT22+AX22+BB22</f>
        <v>42000</v>
      </c>
      <c r="BG22" s="16">
        <f>K22+O22+S22+W22+AA22+AE22+AI22+AM22+AQ22+AU22+AY22+BC22</f>
        <v>0</v>
      </c>
      <c r="BH22" s="16">
        <f>L22+P22+T22+X22+AB22+AF22+AJ22+AN22+AR22+AV22+AZ22+BD22</f>
        <v>0</v>
      </c>
      <c r="BI22" s="16">
        <f>M22+Q22+U22+Y22+AC22+AG22+AK22+AO22+AS22+AW22+BA22+BE22</f>
        <v>0</v>
      </c>
      <c r="BJ22" s="16"/>
      <c r="BK22" s="16"/>
      <c r="BL22" s="16"/>
      <c r="BM22" s="28">
        <f>BK22-BI22</f>
        <v>0</v>
      </c>
    </row>
    <row r="23" spans="2:65" x14ac:dyDescent="0.25">
      <c r="B23" s="14">
        <f>SUBTOTAL(3,$C$8:C23)</f>
        <v>16</v>
      </c>
      <c r="C23" s="26" t="s">
        <v>64</v>
      </c>
      <c r="D23" s="15" t="s">
        <v>103</v>
      </c>
      <c r="E23" s="15" t="s">
        <v>252</v>
      </c>
      <c r="F23" s="15" t="s">
        <v>117</v>
      </c>
      <c r="G23" s="15" t="s">
        <v>166</v>
      </c>
      <c r="H23" s="15" t="s">
        <v>168</v>
      </c>
      <c r="I23" s="15"/>
      <c r="J23" s="21">
        <v>2120</v>
      </c>
      <c r="K23" s="21">
        <v>1410</v>
      </c>
      <c r="L23" s="21"/>
      <c r="M23" s="21"/>
      <c r="N23" s="21">
        <v>2120</v>
      </c>
      <c r="O23" s="21"/>
      <c r="P23" s="21"/>
      <c r="Q23" s="21"/>
      <c r="R23" s="21">
        <v>1680</v>
      </c>
      <c r="S23" s="21">
        <v>1039</v>
      </c>
      <c r="T23" s="21"/>
      <c r="U23" s="21"/>
      <c r="V23" s="21">
        <v>1920</v>
      </c>
      <c r="W23" s="21"/>
      <c r="X23" s="21"/>
      <c r="Y23" s="21"/>
      <c r="Z23" s="21">
        <v>2160</v>
      </c>
      <c r="AA23" s="21"/>
      <c r="AB23" s="21">
        <v>700</v>
      </c>
      <c r="AC23" s="21"/>
      <c r="AD23" s="21">
        <v>2160</v>
      </c>
      <c r="AE23" s="21"/>
      <c r="AF23" s="21">
        <v>700</v>
      </c>
      <c r="AG23" s="21"/>
      <c r="AH23" s="21">
        <v>2160</v>
      </c>
      <c r="AI23" s="21"/>
      <c r="AJ23" s="21">
        <v>1000</v>
      </c>
      <c r="AK23" s="21"/>
      <c r="AL23" s="21">
        <v>2160</v>
      </c>
      <c r="AM23" s="21"/>
      <c r="AN23" s="21">
        <v>1000</v>
      </c>
      <c r="AO23" s="21"/>
      <c r="AP23" s="21">
        <v>2160</v>
      </c>
      <c r="AQ23" s="21"/>
      <c r="AR23" s="21">
        <v>700</v>
      </c>
      <c r="AS23" s="21"/>
      <c r="AT23" s="21">
        <v>2040</v>
      </c>
      <c r="AU23" s="21"/>
      <c r="AV23" s="21">
        <v>700</v>
      </c>
      <c r="AW23" s="21"/>
      <c r="AX23" s="21">
        <v>1920</v>
      </c>
      <c r="AY23" s="21"/>
      <c r="AZ23" s="21">
        <v>700</v>
      </c>
      <c r="BA23" s="21"/>
      <c r="BB23" s="21">
        <v>1400</v>
      </c>
      <c r="BC23" s="21"/>
      <c r="BD23" s="21"/>
      <c r="BE23" s="21"/>
      <c r="BF23" s="16">
        <f>J23+N23+R23+V23+Z23+AD23+AH23+AL23+AP23+AT23+AX23+BB23</f>
        <v>24000</v>
      </c>
      <c r="BG23" s="16">
        <f>K23+O23+S23+W23+AA23+AE23+AI23+AM23+AQ23+AU23+AY23+BC23</f>
        <v>2449</v>
      </c>
      <c r="BH23" s="16">
        <f>L23+P23+T23+X23+AB23+AF23+AJ23+AN23+AR23+AV23+AZ23+BD23</f>
        <v>5500</v>
      </c>
      <c r="BI23" s="16">
        <f>M23+Q23+U23+Y23+AC23+AG23+AK23+AO23+AS23+AW23+BA23+BE23</f>
        <v>0</v>
      </c>
      <c r="BJ23" s="16">
        <v>10000</v>
      </c>
      <c r="BK23" s="16">
        <v>5000</v>
      </c>
      <c r="BL23" s="16">
        <v>3000</v>
      </c>
      <c r="BM23" s="28">
        <f>BK23-BI23</f>
        <v>5000</v>
      </c>
    </row>
    <row r="24" spans="2:65" x14ac:dyDescent="0.25">
      <c r="B24" s="14">
        <f>SUBTOTAL(3,$C$8:C24)</f>
        <v>17</v>
      </c>
      <c r="C24" s="26" t="s">
        <v>63</v>
      </c>
      <c r="D24" s="15" t="s">
        <v>112</v>
      </c>
      <c r="E24" s="15" t="s">
        <v>112</v>
      </c>
      <c r="F24" s="15" t="s">
        <v>116</v>
      </c>
      <c r="G24" s="15" t="s">
        <v>152</v>
      </c>
      <c r="H24" s="15" t="s">
        <v>164</v>
      </c>
      <c r="I24" s="15" t="s">
        <v>165</v>
      </c>
      <c r="J24" s="21">
        <v>15840</v>
      </c>
      <c r="K24" s="21">
        <v>7031</v>
      </c>
      <c r="L24" s="21"/>
      <c r="M24" s="21">
        <v>0</v>
      </c>
      <c r="N24" s="21">
        <v>15840</v>
      </c>
      <c r="O24" s="21">
        <v>9349</v>
      </c>
      <c r="P24" s="21"/>
      <c r="Q24" s="21">
        <v>1024</v>
      </c>
      <c r="R24" s="21">
        <v>12600</v>
      </c>
      <c r="S24" s="21">
        <v>8120</v>
      </c>
      <c r="T24" s="21"/>
      <c r="U24" s="21">
        <v>343</v>
      </c>
      <c r="V24" s="21">
        <v>14400</v>
      </c>
      <c r="W24" s="21"/>
      <c r="X24" s="21">
        <v>672</v>
      </c>
      <c r="Y24" s="21"/>
      <c r="Z24" s="21">
        <v>16200</v>
      </c>
      <c r="AA24" s="21"/>
      <c r="AB24" s="21">
        <v>1000</v>
      </c>
      <c r="AC24" s="21"/>
      <c r="AD24" s="21">
        <v>16200</v>
      </c>
      <c r="AE24" s="21"/>
      <c r="AF24" s="21">
        <v>1500</v>
      </c>
      <c r="AG24" s="21"/>
      <c r="AH24" s="21">
        <v>16200</v>
      </c>
      <c r="AI24" s="21"/>
      <c r="AJ24" s="21">
        <v>3000</v>
      </c>
      <c r="AK24" s="21"/>
      <c r="AL24" s="21">
        <v>16200</v>
      </c>
      <c r="AM24" s="21"/>
      <c r="AN24" s="21">
        <v>3000</v>
      </c>
      <c r="AO24" s="21"/>
      <c r="AP24" s="21">
        <v>16200</v>
      </c>
      <c r="AQ24" s="21"/>
      <c r="AR24" s="21">
        <v>3000</v>
      </c>
      <c r="AS24" s="21"/>
      <c r="AT24" s="21">
        <v>15300</v>
      </c>
      <c r="AU24" s="21"/>
      <c r="AV24" s="21">
        <v>3000</v>
      </c>
      <c r="AW24" s="21"/>
      <c r="AX24" s="21">
        <v>14400</v>
      </c>
      <c r="AY24" s="21"/>
      <c r="AZ24" s="21">
        <v>3000</v>
      </c>
      <c r="BA24" s="21"/>
      <c r="BB24" s="21">
        <v>10620</v>
      </c>
      <c r="BC24" s="21"/>
      <c r="BD24" s="21"/>
      <c r="BE24" s="21"/>
      <c r="BF24" s="16">
        <f>J24+N24+R24+V24+Z24+AD24+AH24+AL24+AP24+AT24+AX24+BB24</f>
        <v>180000</v>
      </c>
      <c r="BG24" s="16">
        <f>K24+O24+S24+W24+AA24+AE24+AI24+AM24+AQ24+AU24+AY24+BC24</f>
        <v>24500</v>
      </c>
      <c r="BH24" s="16">
        <f>L24+P24+T24+X24+AB24+AF24+AJ24+AN24+AR24+AV24+AZ24+BD24</f>
        <v>18172</v>
      </c>
      <c r="BI24" s="16">
        <f>M24+Q24+U24+Y24+AC24+AG24+AK24+AO24+AS24+AW24+BA24+BE24</f>
        <v>1367</v>
      </c>
      <c r="BJ24" s="16">
        <v>35000</v>
      </c>
      <c r="BK24" s="16">
        <v>20000</v>
      </c>
      <c r="BL24" s="16">
        <v>15000</v>
      </c>
      <c r="BM24" s="28">
        <f>BK24-BI24</f>
        <v>18633</v>
      </c>
    </row>
    <row r="25" spans="2:65" x14ac:dyDescent="0.25">
      <c r="B25" s="14">
        <f>SUBTOTAL(3,$C$8:C25)</f>
        <v>18</v>
      </c>
      <c r="C25" s="26" t="s">
        <v>119</v>
      </c>
      <c r="D25" s="15" t="s">
        <v>31</v>
      </c>
      <c r="E25" s="15" t="s">
        <v>232</v>
      </c>
      <c r="F25" s="15" t="s">
        <v>33</v>
      </c>
      <c r="G25" s="15" t="s">
        <v>166</v>
      </c>
      <c r="H25" s="15" t="s">
        <v>170</v>
      </c>
      <c r="I25" s="15" t="s">
        <v>171</v>
      </c>
      <c r="J25" s="21">
        <v>4230</v>
      </c>
      <c r="K25" s="21">
        <v>4484</v>
      </c>
      <c r="L25" s="21"/>
      <c r="M25" s="21"/>
      <c r="N25" s="21">
        <v>4230</v>
      </c>
      <c r="O25" s="21">
        <v>6530</v>
      </c>
      <c r="P25" s="21"/>
      <c r="Q25" s="21"/>
      <c r="R25" s="21">
        <v>3360</v>
      </c>
      <c r="S25" s="21">
        <v>6996</v>
      </c>
      <c r="T25" s="21"/>
      <c r="U25" s="21"/>
      <c r="V25" s="21">
        <v>3840</v>
      </c>
      <c r="W25" s="21"/>
      <c r="X25" s="21">
        <v>1091</v>
      </c>
      <c r="Y25" s="21"/>
      <c r="Z25" s="21">
        <v>4320</v>
      </c>
      <c r="AA25" s="21"/>
      <c r="AB25" s="21">
        <v>1000</v>
      </c>
      <c r="AC25" s="21"/>
      <c r="AD25" s="21">
        <v>4320</v>
      </c>
      <c r="AE25" s="21"/>
      <c r="AF25" s="21">
        <v>1000</v>
      </c>
      <c r="AG25" s="21"/>
      <c r="AH25" s="21">
        <v>4320</v>
      </c>
      <c r="AI25" s="21"/>
      <c r="AJ25" s="21">
        <v>1000</v>
      </c>
      <c r="AK25" s="21"/>
      <c r="AL25" s="21">
        <v>4320</v>
      </c>
      <c r="AM25" s="21"/>
      <c r="AN25" s="21">
        <v>1500</v>
      </c>
      <c r="AO25" s="21"/>
      <c r="AP25" s="21">
        <v>4320</v>
      </c>
      <c r="AQ25" s="21"/>
      <c r="AR25" s="21">
        <v>1500</v>
      </c>
      <c r="AS25" s="21"/>
      <c r="AT25" s="21">
        <v>4080</v>
      </c>
      <c r="AU25" s="21"/>
      <c r="AV25" s="21">
        <v>1500</v>
      </c>
      <c r="AW25" s="21"/>
      <c r="AX25" s="21">
        <v>3840</v>
      </c>
      <c r="AY25" s="21"/>
      <c r="AZ25" s="21">
        <v>1500</v>
      </c>
      <c r="BA25" s="21"/>
      <c r="BB25" s="21">
        <v>2820</v>
      </c>
      <c r="BC25" s="21"/>
      <c r="BD25" s="21"/>
      <c r="BE25" s="21"/>
      <c r="BF25" s="16">
        <f>J25+N25+R25+V25+Z25+AD25+AH25+AL25+AP25+AT25+AX25+BB25</f>
        <v>48000</v>
      </c>
      <c r="BG25" s="16">
        <f>K25+O25+S25+W25+AA25+AE25+AI25+AM25+AQ25+AU25+AY25+BC25</f>
        <v>18010</v>
      </c>
      <c r="BH25" s="16">
        <f>L25+P25+T25+X25+AB25+AF25+AJ25+AN25+AR25+AV25+AZ25+BD25</f>
        <v>10091</v>
      </c>
      <c r="BI25" s="16">
        <f>M25+Q25+U25+Y25+AC25+AG25+AK25+AO25+AS25+AW25+BA25+BE25</f>
        <v>0</v>
      </c>
      <c r="BJ25" s="16">
        <v>15000</v>
      </c>
      <c r="BK25" s="16">
        <v>10000</v>
      </c>
      <c r="BL25" s="16">
        <v>8000</v>
      </c>
      <c r="BM25" s="28">
        <f>BK25-BI25</f>
        <v>10000</v>
      </c>
    </row>
    <row r="26" spans="2:65" x14ac:dyDescent="0.25">
      <c r="B26" s="14">
        <f>SUBTOTAL(3,$C$8:C26)</f>
        <v>19</v>
      </c>
      <c r="C26" s="26" t="s">
        <v>65</v>
      </c>
      <c r="D26" s="15" t="s">
        <v>111</v>
      </c>
      <c r="E26" s="15" t="s">
        <v>268</v>
      </c>
      <c r="F26" s="15" t="s">
        <v>118</v>
      </c>
      <c r="G26" s="15" t="s">
        <v>179</v>
      </c>
      <c r="H26" s="15" t="s">
        <v>183</v>
      </c>
      <c r="I26" s="15" t="s">
        <v>184</v>
      </c>
      <c r="J26" s="21">
        <v>3960</v>
      </c>
      <c r="K26" s="21">
        <v>3779</v>
      </c>
      <c r="L26" s="21"/>
      <c r="M26" s="21">
        <v>529</v>
      </c>
      <c r="N26" s="21">
        <v>3960</v>
      </c>
      <c r="O26" s="21">
        <v>3153</v>
      </c>
      <c r="P26" s="21"/>
      <c r="Q26" s="21">
        <v>190</v>
      </c>
      <c r="R26" s="21">
        <v>3150</v>
      </c>
      <c r="S26" s="21">
        <v>3270</v>
      </c>
      <c r="T26" s="21"/>
      <c r="U26" s="21">
        <v>831</v>
      </c>
      <c r="V26" s="21">
        <v>3600</v>
      </c>
      <c r="W26" s="21"/>
      <c r="X26" s="21">
        <v>517</v>
      </c>
      <c r="Y26" s="21"/>
      <c r="Z26" s="21">
        <v>4050</v>
      </c>
      <c r="AA26" s="21"/>
      <c r="AB26" s="21">
        <v>1000</v>
      </c>
      <c r="AC26" s="21"/>
      <c r="AD26" s="21">
        <v>4050</v>
      </c>
      <c r="AE26" s="21"/>
      <c r="AF26" s="21">
        <v>1500</v>
      </c>
      <c r="AG26" s="21"/>
      <c r="AH26" s="21">
        <v>4050</v>
      </c>
      <c r="AI26" s="21"/>
      <c r="AJ26" s="21">
        <v>2000</v>
      </c>
      <c r="AK26" s="21"/>
      <c r="AL26" s="21">
        <v>4050</v>
      </c>
      <c r="AM26" s="21"/>
      <c r="AN26" s="21">
        <v>2000</v>
      </c>
      <c r="AO26" s="21"/>
      <c r="AP26" s="21">
        <v>4050</v>
      </c>
      <c r="AQ26" s="21"/>
      <c r="AR26" s="21">
        <v>2500</v>
      </c>
      <c r="AS26" s="21"/>
      <c r="AT26" s="21">
        <v>3830</v>
      </c>
      <c r="AU26" s="21"/>
      <c r="AV26" s="21">
        <v>2500</v>
      </c>
      <c r="AW26" s="21"/>
      <c r="AX26" s="21">
        <v>3600</v>
      </c>
      <c r="AY26" s="21"/>
      <c r="AZ26" s="21">
        <v>2500</v>
      </c>
      <c r="BA26" s="21"/>
      <c r="BB26" s="21">
        <v>2650</v>
      </c>
      <c r="BC26" s="21"/>
      <c r="BD26" s="21"/>
      <c r="BE26" s="21"/>
      <c r="BF26" s="16">
        <f>J26+N26+R26+V26+Z26+AD26+AH26+AL26+AP26+AT26+AX26+BB26</f>
        <v>45000</v>
      </c>
      <c r="BG26" s="16">
        <f>K26+O26+S26+W26+AA26+AE26+AI26+AM26+AQ26+AU26+AY26+BC26</f>
        <v>10202</v>
      </c>
      <c r="BH26" s="16">
        <f>L26+P26+T26+X26+AB26+AF26+AJ26+AN26+AR26+AV26+AZ26+BD26</f>
        <v>14517</v>
      </c>
      <c r="BI26" s="16">
        <f>M26+Q26+U26+Y26+AC26+AG26+AK26+AO26+AS26+AW26+BA26+BE26</f>
        <v>1550</v>
      </c>
      <c r="BJ26" s="16">
        <v>15000</v>
      </c>
      <c r="BK26" s="16">
        <v>10000</v>
      </c>
      <c r="BL26" s="16">
        <v>7000</v>
      </c>
      <c r="BM26" s="28">
        <f>BK26-BI26</f>
        <v>8450</v>
      </c>
    </row>
    <row r="27" spans="2:65" x14ac:dyDescent="0.25">
      <c r="B27" s="14">
        <f>SUBTOTAL(3,$C$8:C27)</f>
        <v>20</v>
      </c>
      <c r="C27" s="26" t="s">
        <v>119</v>
      </c>
      <c r="D27" s="15" t="s">
        <v>11</v>
      </c>
      <c r="E27" s="15" t="s">
        <v>218</v>
      </c>
      <c r="F27" s="15" t="s">
        <v>29</v>
      </c>
      <c r="G27" s="15" t="s">
        <v>166</v>
      </c>
      <c r="H27" s="15" t="s">
        <v>195</v>
      </c>
      <c r="I27" s="15" t="s">
        <v>202</v>
      </c>
      <c r="J27" s="21">
        <v>8450</v>
      </c>
      <c r="K27" s="21">
        <v>1058</v>
      </c>
      <c r="L27" s="21"/>
      <c r="M27" s="21"/>
      <c r="N27" s="21">
        <v>8450</v>
      </c>
      <c r="O27" s="21"/>
      <c r="P27" s="21"/>
      <c r="Q27" s="21"/>
      <c r="R27" s="21">
        <v>6720</v>
      </c>
      <c r="S27" s="21">
        <v>382</v>
      </c>
      <c r="T27" s="21"/>
      <c r="U27" s="21"/>
      <c r="V27" s="21">
        <v>7680</v>
      </c>
      <c r="W27" s="21"/>
      <c r="X27" s="21">
        <v>0</v>
      </c>
      <c r="Y27" s="21"/>
      <c r="Z27" s="21">
        <v>8640</v>
      </c>
      <c r="AA27" s="21"/>
      <c r="AB27" s="21">
        <v>1000</v>
      </c>
      <c r="AC27" s="21"/>
      <c r="AD27" s="21">
        <v>8640</v>
      </c>
      <c r="AE27" s="21"/>
      <c r="AF27" s="21">
        <v>1500</v>
      </c>
      <c r="AG27" s="21"/>
      <c r="AH27" s="21">
        <v>8640</v>
      </c>
      <c r="AI27" s="21"/>
      <c r="AJ27" s="21">
        <v>2500</v>
      </c>
      <c r="AK27" s="21"/>
      <c r="AL27" s="21">
        <v>8640</v>
      </c>
      <c r="AM27" s="21"/>
      <c r="AN27" s="21">
        <v>2500</v>
      </c>
      <c r="AO27" s="21"/>
      <c r="AP27" s="21">
        <v>8640</v>
      </c>
      <c r="AQ27" s="21"/>
      <c r="AR27" s="21">
        <v>2500</v>
      </c>
      <c r="AS27" s="21"/>
      <c r="AT27" s="21">
        <v>8160</v>
      </c>
      <c r="AU27" s="21"/>
      <c r="AV27" s="21">
        <v>2500</v>
      </c>
      <c r="AW27" s="21"/>
      <c r="AX27" s="21">
        <v>7680</v>
      </c>
      <c r="AY27" s="21"/>
      <c r="AZ27" s="21">
        <v>2500</v>
      </c>
      <c r="BA27" s="21"/>
      <c r="BB27" s="21">
        <v>5660</v>
      </c>
      <c r="BC27" s="21"/>
      <c r="BD27" s="21"/>
      <c r="BE27" s="21"/>
      <c r="BF27" s="16">
        <f>J27+N27+R27+V27+Z27+AD27+AH27+AL27+AP27+AT27+AX27+BB27</f>
        <v>96000</v>
      </c>
      <c r="BG27" s="16">
        <f>K27+O27+S27+W27+AA27+AE27+AI27+AM27+AQ27+AU27+AY27+BC27</f>
        <v>1440</v>
      </c>
      <c r="BH27" s="16">
        <f>L27+P27+T27+X27+AB27+AF27+AJ27+AN27+AR27+AV27+AZ27+BD27</f>
        <v>15000</v>
      </c>
      <c r="BI27" s="16">
        <f>M27+Q27+U27+Y27+AC27+AG27+AK27+AO27+AS27+AW27+BA27+BE27</f>
        <v>0</v>
      </c>
      <c r="BJ27" s="16">
        <v>25000</v>
      </c>
      <c r="BK27" s="16">
        <v>15000</v>
      </c>
      <c r="BL27" s="16">
        <v>10000</v>
      </c>
      <c r="BM27" s="28">
        <f>BK27-BI27</f>
        <v>15000</v>
      </c>
    </row>
    <row r="28" spans="2:65" x14ac:dyDescent="0.25">
      <c r="B28" s="14">
        <f>SUBTOTAL(3,$C$8:C28)</f>
        <v>21</v>
      </c>
      <c r="C28" s="26" t="s">
        <v>119</v>
      </c>
      <c r="D28" s="15" t="s">
        <v>31</v>
      </c>
      <c r="E28" s="15" t="s">
        <v>282</v>
      </c>
      <c r="F28" s="15" t="s">
        <v>33</v>
      </c>
      <c r="G28" s="15"/>
      <c r="H28" s="15" t="s">
        <v>170</v>
      </c>
      <c r="I28" s="15" t="s">
        <v>174</v>
      </c>
      <c r="J28" s="21">
        <v>2330</v>
      </c>
      <c r="K28" s="21"/>
      <c r="L28" s="21"/>
      <c r="M28" s="21"/>
      <c r="N28" s="21">
        <v>2330</v>
      </c>
      <c r="O28" s="21"/>
      <c r="P28" s="21"/>
      <c r="Q28" s="21"/>
      <c r="R28" s="21">
        <v>1850</v>
      </c>
      <c r="S28" s="21"/>
      <c r="T28" s="21"/>
      <c r="U28" s="21"/>
      <c r="V28" s="21">
        <v>2120</v>
      </c>
      <c r="W28" s="21"/>
      <c r="X28" s="21"/>
      <c r="Y28" s="21"/>
      <c r="Z28" s="21">
        <v>2380</v>
      </c>
      <c r="AA28" s="21"/>
      <c r="AB28" s="21"/>
      <c r="AC28" s="21"/>
      <c r="AD28" s="21">
        <v>2380</v>
      </c>
      <c r="AE28" s="21"/>
      <c r="AF28" s="21">
        <v>1000</v>
      </c>
      <c r="AG28" s="21"/>
      <c r="AH28" s="21">
        <v>2380</v>
      </c>
      <c r="AI28" s="21"/>
      <c r="AJ28" s="21">
        <v>1000</v>
      </c>
      <c r="AK28" s="21"/>
      <c r="AL28" s="21">
        <v>2380</v>
      </c>
      <c r="AM28" s="21"/>
      <c r="AN28" s="21">
        <v>1000</v>
      </c>
      <c r="AO28" s="21"/>
      <c r="AP28" s="21">
        <v>2380</v>
      </c>
      <c r="AQ28" s="21"/>
      <c r="AR28" s="21">
        <v>1000</v>
      </c>
      <c r="AS28" s="21"/>
      <c r="AT28" s="21">
        <v>2250</v>
      </c>
      <c r="AU28" s="21"/>
      <c r="AV28" s="21">
        <v>1000</v>
      </c>
      <c r="AW28" s="21"/>
      <c r="AX28" s="21">
        <v>2120</v>
      </c>
      <c r="AY28" s="21"/>
      <c r="AZ28" s="21">
        <v>1000</v>
      </c>
      <c r="BA28" s="21"/>
      <c r="BB28" s="21">
        <v>1500</v>
      </c>
      <c r="BC28" s="21"/>
      <c r="BD28" s="21"/>
      <c r="BE28" s="21"/>
      <c r="BF28" s="16">
        <f>J28+N28+R28+V28+Z28+AD28+AH28+AL28+AP28+AT28+AX28+BB28</f>
        <v>26400</v>
      </c>
      <c r="BG28" s="16">
        <f>K28+O28+S28+W28+AA28+AE28+AI28+AM28+AQ28+AU28+AY28+BC28</f>
        <v>0</v>
      </c>
      <c r="BH28" s="16">
        <f>L28+P28+T28+X28+AB28+AF28+AJ28+AN28+AR28+AV28+AZ28+BD28</f>
        <v>6000</v>
      </c>
      <c r="BI28" s="16">
        <f>M28+Q28+U28+Y28+AC28+AG28+AK28+AO28+AS28+AW28+BA28+BE28</f>
        <v>0</v>
      </c>
      <c r="BJ28" s="16">
        <v>8000</v>
      </c>
      <c r="BK28" s="16">
        <v>6000</v>
      </c>
      <c r="BL28" s="16">
        <v>5000</v>
      </c>
      <c r="BM28" s="28">
        <f>BK28-BI28</f>
        <v>6000</v>
      </c>
    </row>
    <row r="29" spans="2:65" x14ac:dyDescent="0.25">
      <c r="B29" s="14">
        <f>SUBTOTAL(3,$C$8:C29)</f>
        <v>22</v>
      </c>
      <c r="C29" s="26" t="s">
        <v>66</v>
      </c>
      <c r="D29" s="15" t="s">
        <v>115</v>
      </c>
      <c r="E29" s="15" t="s">
        <v>276</v>
      </c>
      <c r="F29" s="15" t="s">
        <v>118</v>
      </c>
      <c r="G29" s="15" t="s">
        <v>186</v>
      </c>
      <c r="H29" s="15" t="s">
        <v>187</v>
      </c>
      <c r="I29" s="15" t="s">
        <v>188</v>
      </c>
      <c r="J29" s="21">
        <v>4620</v>
      </c>
      <c r="K29" s="21">
        <v>3215</v>
      </c>
      <c r="L29" s="21"/>
      <c r="M29" s="21">
        <v>0</v>
      </c>
      <c r="N29" s="21">
        <v>4620</v>
      </c>
      <c r="O29" s="21">
        <v>5031</v>
      </c>
      <c r="P29" s="21"/>
      <c r="Q29" s="21">
        <v>1301</v>
      </c>
      <c r="R29" s="21">
        <v>3680</v>
      </c>
      <c r="S29" s="21">
        <v>4328</v>
      </c>
      <c r="T29" s="21"/>
      <c r="U29" s="21">
        <v>2969</v>
      </c>
      <c r="V29" s="21">
        <v>4200</v>
      </c>
      <c r="W29" s="21"/>
      <c r="X29" s="21">
        <v>4029</v>
      </c>
      <c r="Y29" s="21"/>
      <c r="Z29" s="21">
        <v>4730</v>
      </c>
      <c r="AA29" s="21"/>
      <c r="AB29" s="21">
        <v>1500</v>
      </c>
      <c r="AC29" s="21"/>
      <c r="AD29" s="21">
        <v>4730</v>
      </c>
      <c r="AE29" s="21"/>
      <c r="AF29" s="21">
        <v>1500</v>
      </c>
      <c r="AG29" s="21"/>
      <c r="AH29" s="21">
        <v>4730</v>
      </c>
      <c r="AI29" s="21"/>
      <c r="AJ29" s="21">
        <v>1500</v>
      </c>
      <c r="AK29" s="21"/>
      <c r="AL29" s="21">
        <v>4730</v>
      </c>
      <c r="AM29" s="21"/>
      <c r="AN29" s="21">
        <v>1500</v>
      </c>
      <c r="AO29" s="21"/>
      <c r="AP29" s="21">
        <v>4730</v>
      </c>
      <c r="AQ29" s="21"/>
      <c r="AR29" s="21">
        <v>1500</v>
      </c>
      <c r="AS29" s="21"/>
      <c r="AT29" s="21">
        <v>4470</v>
      </c>
      <c r="AU29" s="21"/>
      <c r="AV29" s="21">
        <v>1500</v>
      </c>
      <c r="AW29" s="21"/>
      <c r="AX29" s="21">
        <v>4200</v>
      </c>
      <c r="AY29" s="21"/>
      <c r="AZ29" s="21">
        <v>1500</v>
      </c>
      <c r="BA29" s="21"/>
      <c r="BB29" s="21">
        <v>3060</v>
      </c>
      <c r="BC29" s="21"/>
      <c r="BD29" s="21"/>
      <c r="BE29" s="21"/>
      <c r="BF29" s="16">
        <f>J29+N29+R29+V29+Z29+AD29+AH29+AL29+AP29+AT29+AX29+BB29</f>
        <v>52500</v>
      </c>
      <c r="BG29" s="16">
        <f>K29+O29+S29+W29+AA29+AE29+AI29+AM29+AQ29+AU29+AY29+BC29</f>
        <v>12574</v>
      </c>
      <c r="BH29" s="16">
        <f>L29+P29+T29+X29+AB29+AF29+AJ29+AN29+AR29+AV29+AZ29+BD29</f>
        <v>14529</v>
      </c>
      <c r="BI29" s="16">
        <f>M29+Q29+U29+Y29+AC29+AG29+AK29+AO29+AS29+AW29+BA29+BE29</f>
        <v>4270</v>
      </c>
      <c r="BJ29" s="16">
        <v>20000</v>
      </c>
      <c r="BK29" s="16">
        <v>15000</v>
      </c>
      <c r="BL29" s="16">
        <v>10000</v>
      </c>
      <c r="BM29" s="28">
        <f>BK29-BI29</f>
        <v>10730</v>
      </c>
    </row>
    <row r="30" spans="2:65" x14ac:dyDescent="0.25">
      <c r="B30" s="14">
        <f>SUBTOTAL(3,$C$8:C30)</f>
        <v>23</v>
      </c>
      <c r="C30" s="26" t="s">
        <v>63</v>
      </c>
      <c r="D30" s="15" t="s">
        <v>106</v>
      </c>
      <c r="E30" s="15" t="s">
        <v>106</v>
      </c>
      <c r="F30" s="15" t="s">
        <v>116</v>
      </c>
      <c r="G30" s="15" t="s">
        <v>152</v>
      </c>
      <c r="H30" s="15" t="s">
        <v>158</v>
      </c>
      <c r="I30" s="15" t="s">
        <v>159</v>
      </c>
      <c r="J30" s="21">
        <v>3960</v>
      </c>
      <c r="K30" s="21">
        <v>1671</v>
      </c>
      <c r="L30" s="21"/>
      <c r="M30" s="21">
        <v>712</v>
      </c>
      <c r="N30" s="21">
        <v>3960</v>
      </c>
      <c r="O30" s="21">
        <v>3574</v>
      </c>
      <c r="P30" s="21"/>
      <c r="Q30" s="21">
        <v>976</v>
      </c>
      <c r="R30" s="21">
        <v>3150</v>
      </c>
      <c r="S30" s="21">
        <v>848</v>
      </c>
      <c r="T30" s="21"/>
      <c r="U30" s="21">
        <v>467</v>
      </c>
      <c r="V30" s="21">
        <v>3600</v>
      </c>
      <c r="W30" s="21"/>
      <c r="X30" s="21">
        <v>1600</v>
      </c>
      <c r="Y30" s="21"/>
      <c r="Z30" s="21">
        <v>4050</v>
      </c>
      <c r="AA30" s="21"/>
      <c r="AB30" s="21">
        <v>1500</v>
      </c>
      <c r="AC30" s="21"/>
      <c r="AD30" s="21">
        <v>4050</v>
      </c>
      <c r="AE30" s="21"/>
      <c r="AF30" s="21">
        <v>2000</v>
      </c>
      <c r="AG30" s="21"/>
      <c r="AH30" s="21">
        <v>4050</v>
      </c>
      <c r="AI30" s="21"/>
      <c r="AJ30" s="21">
        <v>2000</v>
      </c>
      <c r="AK30" s="21"/>
      <c r="AL30" s="21">
        <v>4050</v>
      </c>
      <c r="AM30" s="21"/>
      <c r="AN30" s="21">
        <v>2000</v>
      </c>
      <c r="AO30" s="21"/>
      <c r="AP30" s="21">
        <v>4050</v>
      </c>
      <c r="AQ30" s="21"/>
      <c r="AR30" s="21">
        <v>2000</v>
      </c>
      <c r="AS30" s="21"/>
      <c r="AT30" s="21">
        <v>3830</v>
      </c>
      <c r="AU30" s="21"/>
      <c r="AV30" s="21">
        <v>2000</v>
      </c>
      <c r="AW30" s="21"/>
      <c r="AX30" s="21">
        <v>3600</v>
      </c>
      <c r="AY30" s="21"/>
      <c r="AZ30" s="21">
        <v>2000</v>
      </c>
      <c r="BA30" s="21"/>
      <c r="BB30" s="21">
        <v>2650</v>
      </c>
      <c r="BC30" s="21"/>
      <c r="BD30" s="21"/>
      <c r="BE30" s="21"/>
      <c r="BF30" s="16">
        <f>J30+N30+R30+V30+Z30+AD30+AH30+AL30+AP30+AT30+AX30+BB30</f>
        <v>45000</v>
      </c>
      <c r="BG30" s="16">
        <f>K30+O30+S30+W30+AA30+AE30+AI30+AM30+AQ30+AU30+AY30+BC30</f>
        <v>6093</v>
      </c>
      <c r="BH30" s="16">
        <f>L30+P30+T30+X30+AB30+AF30+AJ30+AN30+AR30+AV30+AZ30+BD30</f>
        <v>15100</v>
      </c>
      <c r="BI30" s="16">
        <f>M30+Q30+U30+Y30+AC30+AG30+AK30+AO30+AS30+AW30+BA30+BE30</f>
        <v>2155</v>
      </c>
      <c r="BJ30" s="16">
        <v>20000</v>
      </c>
      <c r="BK30" s="16">
        <v>15000</v>
      </c>
      <c r="BL30" s="16">
        <v>10000</v>
      </c>
      <c r="BM30" s="28">
        <f>BK30-BI30</f>
        <v>12845</v>
      </c>
    </row>
    <row r="31" spans="2:65" x14ac:dyDescent="0.25">
      <c r="B31" s="14">
        <f>SUBTOTAL(3,$C$8:C31)</f>
        <v>24</v>
      </c>
      <c r="C31" s="26" t="s">
        <v>64</v>
      </c>
      <c r="D31" s="15" t="s">
        <v>107</v>
      </c>
      <c r="E31" s="15" t="s">
        <v>261</v>
      </c>
      <c r="F31" s="15" t="s">
        <v>117</v>
      </c>
      <c r="G31" s="15" t="s">
        <v>166</v>
      </c>
      <c r="H31" s="15" t="s">
        <v>166</v>
      </c>
      <c r="I31" s="15"/>
      <c r="J31" s="21">
        <v>3700</v>
      </c>
      <c r="K31" s="21">
        <v>2957</v>
      </c>
      <c r="L31" s="21"/>
      <c r="M31" s="21"/>
      <c r="N31" s="21">
        <v>3700</v>
      </c>
      <c r="O31" s="21">
        <v>3676</v>
      </c>
      <c r="P31" s="21"/>
      <c r="Q31" s="21"/>
      <c r="R31" s="21">
        <v>2940</v>
      </c>
      <c r="S31" s="21">
        <v>2849</v>
      </c>
      <c r="T31" s="21"/>
      <c r="U31" s="21"/>
      <c r="V31" s="21">
        <v>3360</v>
      </c>
      <c r="W31" s="21"/>
      <c r="X31" s="21">
        <v>562</v>
      </c>
      <c r="Y31" s="21"/>
      <c r="Z31" s="21">
        <v>3780</v>
      </c>
      <c r="AA31" s="21"/>
      <c r="AB31" s="21">
        <v>500</v>
      </c>
      <c r="AC31" s="21"/>
      <c r="AD31" s="21">
        <v>3780</v>
      </c>
      <c r="AE31" s="21"/>
      <c r="AF31" s="21">
        <v>1000</v>
      </c>
      <c r="AG31" s="21"/>
      <c r="AH31" s="21">
        <v>3780</v>
      </c>
      <c r="AI31" s="21"/>
      <c r="AJ31" s="21">
        <v>1000</v>
      </c>
      <c r="AK31" s="21"/>
      <c r="AL31" s="21">
        <v>3780</v>
      </c>
      <c r="AM31" s="21"/>
      <c r="AN31" s="21">
        <v>1000</v>
      </c>
      <c r="AO31" s="21"/>
      <c r="AP31" s="21">
        <v>3780</v>
      </c>
      <c r="AQ31" s="21"/>
      <c r="AR31" s="21">
        <v>750</v>
      </c>
      <c r="AS31" s="21"/>
      <c r="AT31" s="21">
        <v>3570</v>
      </c>
      <c r="AU31" s="21"/>
      <c r="AV31" s="21">
        <v>750</v>
      </c>
      <c r="AW31" s="21"/>
      <c r="AX31" s="21">
        <v>3360</v>
      </c>
      <c r="AY31" s="21"/>
      <c r="AZ31" s="21">
        <v>500</v>
      </c>
      <c r="BA31" s="21"/>
      <c r="BB31" s="21">
        <v>2470</v>
      </c>
      <c r="BC31" s="21"/>
      <c r="BD31" s="21"/>
      <c r="BE31" s="21"/>
      <c r="BF31" s="16">
        <f>J31+N31+R31+V31+Z31+AD31+AH31+AL31+AP31+AT31+AX31+BB31</f>
        <v>42000</v>
      </c>
      <c r="BG31" s="16">
        <f>K31+O31+S31+W31+AA31+AE31+AI31+AM31+AQ31+AU31+AY31+BC31</f>
        <v>9482</v>
      </c>
      <c r="BH31" s="16">
        <f>L31+P31+T31+X31+AB31+AF31+AJ31+AN31+AR31+AV31+AZ31+BD31</f>
        <v>6062</v>
      </c>
      <c r="BI31" s="16">
        <f>M31+Q31+U31+Y31+AC31+AG31+AK31+AO31+AS31+AW31+BA31+BE31</f>
        <v>0</v>
      </c>
      <c r="BJ31" s="16">
        <v>10000</v>
      </c>
      <c r="BK31" s="16">
        <v>8000</v>
      </c>
      <c r="BL31" s="16">
        <v>5000</v>
      </c>
      <c r="BM31" s="28">
        <f>BK31-BI31</f>
        <v>8000</v>
      </c>
    </row>
    <row r="32" spans="2:65" x14ac:dyDescent="0.25">
      <c r="B32" s="14">
        <f>SUBTOTAL(3,$C$8:C32)</f>
        <v>25</v>
      </c>
      <c r="C32" s="26" t="s">
        <v>63</v>
      </c>
      <c r="D32" s="15" t="s">
        <v>141</v>
      </c>
      <c r="E32" s="15" t="s">
        <v>283</v>
      </c>
      <c r="F32" s="15" t="s">
        <v>116</v>
      </c>
      <c r="G32" s="15"/>
      <c r="H32" s="15"/>
      <c r="I32" s="15"/>
      <c r="J32" s="21">
        <v>5870</v>
      </c>
      <c r="K32" s="21"/>
      <c r="L32" s="21"/>
      <c r="M32" s="21"/>
      <c r="N32" s="21">
        <v>5870</v>
      </c>
      <c r="O32" s="21"/>
      <c r="P32" s="21"/>
      <c r="Q32" s="21"/>
      <c r="R32" s="21">
        <v>4670</v>
      </c>
      <c r="S32" s="21"/>
      <c r="T32" s="21"/>
      <c r="U32" s="21"/>
      <c r="V32" s="21">
        <v>5330</v>
      </c>
      <c r="W32" s="21"/>
      <c r="X32" s="21"/>
      <c r="Y32" s="21"/>
      <c r="Z32" s="21">
        <v>6000</v>
      </c>
      <c r="AA32" s="21"/>
      <c r="AB32" s="21"/>
      <c r="AC32" s="21"/>
      <c r="AD32" s="21">
        <v>6000</v>
      </c>
      <c r="AE32" s="21"/>
      <c r="AF32" s="21"/>
      <c r="AG32" s="21"/>
      <c r="AH32" s="21">
        <v>6000</v>
      </c>
      <c r="AI32" s="21"/>
      <c r="AJ32" s="21"/>
      <c r="AK32" s="21"/>
      <c r="AL32" s="21">
        <v>6000</v>
      </c>
      <c r="AM32" s="21"/>
      <c r="AN32" s="21"/>
      <c r="AO32" s="21"/>
      <c r="AP32" s="21">
        <v>6000</v>
      </c>
      <c r="AQ32" s="21"/>
      <c r="AR32" s="21"/>
      <c r="AS32" s="21"/>
      <c r="AT32" s="21">
        <v>5670</v>
      </c>
      <c r="AU32" s="21"/>
      <c r="AV32" s="21"/>
      <c r="AW32" s="21"/>
      <c r="AX32" s="21">
        <v>5330</v>
      </c>
      <c r="AY32" s="21"/>
      <c r="AZ32" s="21"/>
      <c r="BA32" s="21"/>
      <c r="BB32" s="21">
        <v>3860</v>
      </c>
      <c r="BC32" s="21"/>
      <c r="BD32" s="21"/>
      <c r="BE32" s="21"/>
      <c r="BF32" s="16">
        <f>J32+N32+R32+V32+Z32+AD32+AH32+AL32+AP32+AT32+AX32+BB32</f>
        <v>66600</v>
      </c>
      <c r="BG32" s="16">
        <f>K32+O32+S32+W32+AA32+AE32+AI32+AM32+AQ32+AU32+AY32+BC32</f>
        <v>0</v>
      </c>
      <c r="BH32" s="16">
        <f>L32+P32+T32+X32+AB32+AF32+AJ32+AN32+AR32+AV32+AZ32+BD32</f>
        <v>0</v>
      </c>
      <c r="BI32" s="16">
        <f>M32+Q32+U32+Y32+AC32+AG32+AK32+AO32+AS32+AW32+BA32+BE32</f>
        <v>0</v>
      </c>
      <c r="BJ32" s="16"/>
      <c r="BK32" s="16"/>
      <c r="BL32" s="16"/>
      <c r="BM32" s="28">
        <f>BK32-BI32</f>
        <v>0</v>
      </c>
    </row>
    <row r="33" spans="2:65" x14ac:dyDescent="0.25">
      <c r="B33" s="14">
        <f>SUBTOTAL(3,$C$8:C33)</f>
        <v>26</v>
      </c>
      <c r="C33" s="26" t="s">
        <v>119</v>
      </c>
      <c r="D33" s="15" t="s">
        <v>31</v>
      </c>
      <c r="E33" s="15" t="s">
        <v>229</v>
      </c>
      <c r="F33" s="15" t="s">
        <v>33</v>
      </c>
      <c r="G33" s="15" t="s">
        <v>166</v>
      </c>
      <c r="H33" s="15" t="s">
        <v>170</v>
      </c>
      <c r="I33" s="15" t="s">
        <v>171</v>
      </c>
      <c r="J33" s="21">
        <v>5280</v>
      </c>
      <c r="K33" s="21">
        <v>2567</v>
      </c>
      <c r="L33" s="21"/>
      <c r="M33" s="21">
        <v>1307</v>
      </c>
      <c r="N33" s="21">
        <v>5280</v>
      </c>
      <c r="O33" s="21">
        <v>5013</v>
      </c>
      <c r="P33" s="21"/>
      <c r="Q33" s="21">
        <v>732</v>
      </c>
      <c r="R33" s="21">
        <v>4200</v>
      </c>
      <c r="S33" s="21">
        <v>3396</v>
      </c>
      <c r="T33" s="21"/>
      <c r="U33" s="21">
        <v>0</v>
      </c>
      <c r="V33" s="21">
        <v>4800</v>
      </c>
      <c r="W33" s="21"/>
      <c r="X33" s="21">
        <v>3163</v>
      </c>
      <c r="Y33" s="21"/>
      <c r="Z33" s="21">
        <v>5400</v>
      </c>
      <c r="AA33" s="21"/>
      <c r="AB33" s="21">
        <v>3000</v>
      </c>
      <c r="AC33" s="21"/>
      <c r="AD33" s="21">
        <v>5400</v>
      </c>
      <c r="AE33" s="21"/>
      <c r="AF33" s="21">
        <v>2500</v>
      </c>
      <c r="AG33" s="21"/>
      <c r="AH33" s="21">
        <v>5400</v>
      </c>
      <c r="AI33" s="21"/>
      <c r="AJ33" s="21">
        <v>1000</v>
      </c>
      <c r="AK33" s="21"/>
      <c r="AL33" s="21">
        <v>5400</v>
      </c>
      <c r="AM33" s="21"/>
      <c r="AN33" s="21">
        <v>1000</v>
      </c>
      <c r="AO33" s="21"/>
      <c r="AP33" s="21">
        <v>5400</v>
      </c>
      <c r="AQ33" s="21"/>
      <c r="AR33" s="21">
        <v>1000</v>
      </c>
      <c r="AS33" s="21"/>
      <c r="AT33" s="21">
        <v>5100</v>
      </c>
      <c r="AU33" s="21"/>
      <c r="AV33" s="21">
        <v>1500</v>
      </c>
      <c r="AW33" s="21"/>
      <c r="AX33" s="21">
        <v>4800</v>
      </c>
      <c r="AY33" s="21"/>
      <c r="AZ33" s="21">
        <v>2000</v>
      </c>
      <c r="BA33" s="21"/>
      <c r="BB33" s="21">
        <v>3540</v>
      </c>
      <c r="BC33" s="21"/>
      <c r="BD33" s="21"/>
      <c r="BE33" s="21"/>
      <c r="BF33" s="16">
        <f>J33+N33+R33+V33+Z33+AD33+AH33+AL33+AP33+AT33+AX33+BB33</f>
        <v>60000</v>
      </c>
      <c r="BG33" s="16">
        <f>K33+O33+S33+W33+AA33+AE33+AI33+AM33+AQ33+AU33+AY33+BC33</f>
        <v>10976</v>
      </c>
      <c r="BH33" s="16">
        <f>L33+P33+T33+X33+AB33+AF33+AJ33+AN33+AR33+AV33+AZ33+BD33</f>
        <v>15163</v>
      </c>
      <c r="BI33" s="16">
        <f>M33+Q33+U33+Y33+AC33+AG33+AK33+AO33+AS33+AW33+BA33+BE33</f>
        <v>2039</v>
      </c>
      <c r="BJ33" s="16">
        <v>20000</v>
      </c>
      <c r="BK33" s="16">
        <v>15000</v>
      </c>
      <c r="BL33" s="16">
        <v>10000</v>
      </c>
      <c r="BM33" s="28">
        <f>BK33-BI33</f>
        <v>12961</v>
      </c>
    </row>
    <row r="34" spans="2:65" x14ac:dyDescent="0.25">
      <c r="B34" s="14">
        <f>SUBTOTAL(3,$C$8:C34)</f>
        <v>27</v>
      </c>
      <c r="C34" s="26" t="s">
        <v>65</v>
      </c>
      <c r="D34" s="15" t="s">
        <v>109</v>
      </c>
      <c r="E34" s="15" t="s">
        <v>265</v>
      </c>
      <c r="F34" s="15" t="s">
        <v>118</v>
      </c>
      <c r="G34" s="15" t="s">
        <v>179</v>
      </c>
      <c r="H34" s="15" t="s">
        <v>180</v>
      </c>
      <c r="I34" s="15" t="s">
        <v>181</v>
      </c>
      <c r="J34" s="21">
        <v>5550</v>
      </c>
      <c r="K34" s="21">
        <v>5810</v>
      </c>
      <c r="L34" s="21"/>
      <c r="M34" s="21">
        <v>643</v>
      </c>
      <c r="N34" s="21">
        <v>5550</v>
      </c>
      <c r="O34" s="21">
        <v>6266</v>
      </c>
      <c r="P34" s="21"/>
      <c r="Q34" s="21">
        <v>300</v>
      </c>
      <c r="R34" s="21">
        <v>4410</v>
      </c>
      <c r="S34" s="21">
        <v>2400</v>
      </c>
      <c r="T34" s="21"/>
      <c r="U34" s="21">
        <v>0</v>
      </c>
      <c r="V34" s="21">
        <v>5040</v>
      </c>
      <c r="W34" s="21"/>
      <c r="X34" s="21">
        <v>1143</v>
      </c>
      <c r="Y34" s="21"/>
      <c r="Z34" s="21">
        <v>5670</v>
      </c>
      <c r="AA34" s="21"/>
      <c r="AB34" s="21">
        <v>1500</v>
      </c>
      <c r="AC34" s="21"/>
      <c r="AD34" s="21">
        <v>5670</v>
      </c>
      <c r="AE34" s="21"/>
      <c r="AF34" s="21">
        <v>2000</v>
      </c>
      <c r="AG34" s="21"/>
      <c r="AH34" s="21">
        <v>5670</v>
      </c>
      <c r="AI34" s="21"/>
      <c r="AJ34" s="21">
        <v>2500</v>
      </c>
      <c r="AK34" s="21"/>
      <c r="AL34" s="21">
        <v>5670</v>
      </c>
      <c r="AM34" s="21"/>
      <c r="AN34" s="21">
        <v>2500</v>
      </c>
      <c r="AO34" s="21"/>
      <c r="AP34" s="21">
        <v>5670</v>
      </c>
      <c r="AQ34" s="21"/>
      <c r="AR34" s="21">
        <v>3000</v>
      </c>
      <c r="AS34" s="21"/>
      <c r="AT34" s="21">
        <v>5360</v>
      </c>
      <c r="AU34" s="21"/>
      <c r="AV34" s="21">
        <v>3000</v>
      </c>
      <c r="AW34" s="21"/>
      <c r="AX34" s="21">
        <v>5040</v>
      </c>
      <c r="AY34" s="21"/>
      <c r="AZ34" s="21">
        <v>3000</v>
      </c>
      <c r="BA34" s="21"/>
      <c r="BB34" s="21">
        <v>3700</v>
      </c>
      <c r="BC34" s="21"/>
      <c r="BD34" s="21"/>
      <c r="BE34" s="21"/>
      <c r="BF34" s="16">
        <f>J34+N34+R34+V34+Z34+AD34+AH34+AL34+AP34+AT34+AX34+BB34</f>
        <v>63000</v>
      </c>
      <c r="BG34" s="16">
        <f>K34+O34+S34+W34+AA34+AE34+AI34+AM34+AQ34+AU34+AY34+BC34</f>
        <v>14476</v>
      </c>
      <c r="BH34" s="16">
        <f>L34+P34+T34+X34+AB34+AF34+AJ34+AN34+AR34+AV34+AZ34+BD34</f>
        <v>18643</v>
      </c>
      <c r="BI34" s="16">
        <f>M34+Q34+U34+Y34+AC34+AG34+AK34+AO34+AS34+AW34+BA34+BE34</f>
        <v>943</v>
      </c>
      <c r="BJ34" s="16">
        <v>20000</v>
      </c>
      <c r="BK34" s="16">
        <v>15000</v>
      </c>
      <c r="BL34" s="16">
        <v>10000</v>
      </c>
      <c r="BM34" s="28">
        <f>BK34-BI34</f>
        <v>14057</v>
      </c>
    </row>
    <row r="35" spans="2:65" x14ac:dyDescent="0.25">
      <c r="B35" s="14">
        <f>SUBTOTAL(3,$C$8:C35)</f>
        <v>28</v>
      </c>
      <c r="C35" s="26" t="s">
        <v>65</v>
      </c>
      <c r="D35" s="15" t="s">
        <v>111</v>
      </c>
      <c r="E35" s="15" t="s">
        <v>270</v>
      </c>
      <c r="F35" s="15" t="s">
        <v>118</v>
      </c>
      <c r="G35" s="15" t="s">
        <v>179</v>
      </c>
      <c r="H35" s="15" t="s">
        <v>183</v>
      </c>
      <c r="I35" s="15" t="s">
        <v>185</v>
      </c>
      <c r="J35" s="21">
        <v>4230</v>
      </c>
      <c r="K35" s="21">
        <v>4055</v>
      </c>
      <c r="L35" s="21"/>
      <c r="M35" s="21">
        <v>772</v>
      </c>
      <c r="N35" s="21">
        <v>4230</v>
      </c>
      <c r="O35" s="21">
        <v>3827</v>
      </c>
      <c r="P35" s="21"/>
      <c r="Q35" s="21">
        <v>145</v>
      </c>
      <c r="R35" s="21">
        <v>3360</v>
      </c>
      <c r="S35" s="21">
        <v>3389</v>
      </c>
      <c r="T35" s="21"/>
      <c r="U35" s="21">
        <v>562</v>
      </c>
      <c r="V35" s="21">
        <v>3840</v>
      </c>
      <c r="W35" s="21"/>
      <c r="X35" s="21">
        <v>752</v>
      </c>
      <c r="Y35" s="21"/>
      <c r="Z35" s="21">
        <v>4320</v>
      </c>
      <c r="AA35" s="21"/>
      <c r="AB35" s="21">
        <v>1000</v>
      </c>
      <c r="AC35" s="21"/>
      <c r="AD35" s="21">
        <v>4320</v>
      </c>
      <c r="AE35" s="21"/>
      <c r="AF35" s="21">
        <v>1000</v>
      </c>
      <c r="AG35" s="21"/>
      <c r="AH35" s="21">
        <v>4320</v>
      </c>
      <c r="AI35" s="21"/>
      <c r="AJ35" s="21">
        <v>1500</v>
      </c>
      <c r="AK35" s="21"/>
      <c r="AL35" s="21">
        <v>4320</v>
      </c>
      <c r="AM35" s="21"/>
      <c r="AN35" s="21">
        <v>1500</v>
      </c>
      <c r="AO35" s="21"/>
      <c r="AP35" s="21">
        <v>4320</v>
      </c>
      <c r="AQ35" s="21"/>
      <c r="AR35" s="21">
        <v>1000</v>
      </c>
      <c r="AS35" s="21"/>
      <c r="AT35" s="21">
        <v>4080</v>
      </c>
      <c r="AU35" s="21"/>
      <c r="AV35" s="21">
        <v>1500</v>
      </c>
      <c r="AW35" s="21"/>
      <c r="AX35" s="21">
        <v>3840</v>
      </c>
      <c r="AY35" s="21"/>
      <c r="AZ35" s="21">
        <v>1000</v>
      </c>
      <c r="BA35" s="21"/>
      <c r="BB35" s="21">
        <v>2820</v>
      </c>
      <c r="BC35" s="21"/>
      <c r="BD35" s="21"/>
      <c r="BE35" s="21"/>
      <c r="BF35" s="16">
        <f>J35+N35+R35+V35+Z35+AD35+AH35+AL35+AP35+AT35+AX35+BB35</f>
        <v>48000</v>
      </c>
      <c r="BG35" s="16">
        <f>K35+O35+S35+W35+AA35+AE35+AI35+AM35+AQ35+AU35+AY35+BC35</f>
        <v>11271</v>
      </c>
      <c r="BH35" s="16">
        <f>L35+P35+T35+X35+AB35+AF35+AJ35+AN35+AR35+AV35+AZ35+BD35</f>
        <v>9252</v>
      </c>
      <c r="BI35" s="16">
        <f>M35+Q35+U35+Y35+AC35+AG35+AK35+AO35+AS35+AW35+BA35+BE35</f>
        <v>1479</v>
      </c>
      <c r="BJ35" s="16">
        <v>15000</v>
      </c>
      <c r="BK35" s="16">
        <v>10000</v>
      </c>
      <c r="BL35" s="16">
        <v>7000</v>
      </c>
      <c r="BM35" s="28">
        <f>BK35-BI35</f>
        <v>8521</v>
      </c>
    </row>
    <row r="36" spans="2:65" x14ac:dyDescent="0.25">
      <c r="B36" s="14">
        <f>SUBTOTAL(3,$C$8:C36)</f>
        <v>29</v>
      </c>
      <c r="C36" s="26" t="s">
        <v>119</v>
      </c>
      <c r="D36" s="15" t="s">
        <v>31</v>
      </c>
      <c r="E36" s="15" t="s">
        <v>284</v>
      </c>
      <c r="F36" s="15" t="s">
        <v>33</v>
      </c>
      <c r="G36" s="15" t="s">
        <v>166</v>
      </c>
      <c r="H36" s="15" t="s">
        <v>170</v>
      </c>
      <c r="I36" s="15" t="s">
        <v>171</v>
      </c>
      <c r="J36" s="21">
        <v>3170</v>
      </c>
      <c r="K36" s="21"/>
      <c r="L36" s="21"/>
      <c r="M36" s="21"/>
      <c r="N36" s="21">
        <v>3170</v>
      </c>
      <c r="O36" s="21"/>
      <c r="P36" s="21"/>
      <c r="Q36" s="21"/>
      <c r="R36" s="21">
        <v>2520</v>
      </c>
      <c r="S36" s="21"/>
      <c r="T36" s="21"/>
      <c r="U36" s="21"/>
      <c r="V36" s="21">
        <v>2880</v>
      </c>
      <c r="W36" s="21"/>
      <c r="X36" s="21"/>
      <c r="Y36" s="21"/>
      <c r="Z36" s="21">
        <v>3240</v>
      </c>
      <c r="AA36" s="21"/>
      <c r="AB36" s="21">
        <v>500</v>
      </c>
      <c r="AC36" s="21"/>
      <c r="AD36" s="21">
        <v>3240</v>
      </c>
      <c r="AE36" s="21"/>
      <c r="AF36" s="21">
        <v>1000</v>
      </c>
      <c r="AG36" s="21"/>
      <c r="AH36" s="21">
        <v>3240</v>
      </c>
      <c r="AI36" s="21"/>
      <c r="AJ36" s="21">
        <v>1500</v>
      </c>
      <c r="AK36" s="21"/>
      <c r="AL36" s="21">
        <v>3240</v>
      </c>
      <c r="AM36" s="21"/>
      <c r="AN36" s="21">
        <v>1500</v>
      </c>
      <c r="AO36" s="21"/>
      <c r="AP36" s="21">
        <v>3240</v>
      </c>
      <c r="AQ36" s="21"/>
      <c r="AR36" s="21">
        <v>1000</v>
      </c>
      <c r="AS36" s="21"/>
      <c r="AT36" s="21">
        <v>3060</v>
      </c>
      <c r="AU36" s="21"/>
      <c r="AV36" s="21">
        <v>1000</v>
      </c>
      <c r="AW36" s="21"/>
      <c r="AX36" s="21">
        <v>2880</v>
      </c>
      <c r="AY36" s="21"/>
      <c r="AZ36" s="21">
        <v>1000</v>
      </c>
      <c r="BA36" s="21"/>
      <c r="BB36" s="21">
        <v>2120</v>
      </c>
      <c r="BC36" s="21"/>
      <c r="BD36" s="21"/>
      <c r="BE36" s="21"/>
      <c r="BF36" s="16">
        <f>J36+N36+R36+V36+Z36+AD36+AH36+AL36+AP36+AT36+AX36+BB36</f>
        <v>36000</v>
      </c>
      <c r="BG36" s="16">
        <f>K36+O36+S36+W36+AA36+AE36+AI36+AM36+AQ36+AU36+AY36+BC36</f>
        <v>0</v>
      </c>
      <c r="BH36" s="16">
        <f>L36+P36+T36+X36+AB36+AF36+AJ36+AN36+AR36+AV36+AZ36+BD36</f>
        <v>7500</v>
      </c>
      <c r="BI36" s="16">
        <f>M36+Q36+U36+Y36+AC36+AG36+AK36+AO36+AS36+AW36+BA36+BE36</f>
        <v>0</v>
      </c>
      <c r="BJ36" s="16">
        <v>10000</v>
      </c>
      <c r="BK36" s="16">
        <v>7500</v>
      </c>
      <c r="BL36" s="16">
        <v>5000</v>
      </c>
      <c r="BM36" s="28">
        <f>BK36-BI36</f>
        <v>7500</v>
      </c>
    </row>
    <row r="37" spans="2:65" x14ac:dyDescent="0.25">
      <c r="B37" s="14">
        <f>SUBTOTAL(3,$C$8:C37)</f>
        <v>30</v>
      </c>
      <c r="C37" s="26" t="s">
        <v>119</v>
      </c>
      <c r="D37" s="15" t="s">
        <v>11</v>
      </c>
      <c r="E37" s="15" t="s">
        <v>285</v>
      </c>
      <c r="F37" s="15" t="s">
        <v>29</v>
      </c>
      <c r="G37" s="15"/>
      <c r="H37" s="15"/>
      <c r="I37" s="15"/>
      <c r="J37" s="21">
        <v>2730</v>
      </c>
      <c r="K37" s="21"/>
      <c r="L37" s="21"/>
      <c r="M37" s="21"/>
      <c r="N37" s="21">
        <v>2730</v>
      </c>
      <c r="O37" s="21"/>
      <c r="P37" s="21"/>
      <c r="Q37" s="21"/>
      <c r="R37" s="21">
        <v>2170</v>
      </c>
      <c r="S37" s="21"/>
      <c r="T37" s="21"/>
      <c r="U37" s="21"/>
      <c r="V37" s="21">
        <v>2480</v>
      </c>
      <c r="W37" s="21"/>
      <c r="X37" s="21"/>
      <c r="Y37" s="21"/>
      <c r="Z37" s="21">
        <v>2790</v>
      </c>
      <c r="AA37" s="21"/>
      <c r="AB37" s="21"/>
      <c r="AC37" s="21"/>
      <c r="AD37" s="21">
        <v>2790</v>
      </c>
      <c r="AE37" s="21"/>
      <c r="AF37" s="21"/>
      <c r="AG37" s="21"/>
      <c r="AH37" s="21">
        <v>2790</v>
      </c>
      <c r="AI37" s="21"/>
      <c r="AJ37" s="21"/>
      <c r="AK37" s="21"/>
      <c r="AL37" s="21">
        <v>2790</v>
      </c>
      <c r="AM37" s="21"/>
      <c r="AN37" s="21"/>
      <c r="AO37" s="21"/>
      <c r="AP37" s="21">
        <v>2790</v>
      </c>
      <c r="AQ37" s="21"/>
      <c r="AR37" s="21"/>
      <c r="AS37" s="21"/>
      <c r="AT37" s="21">
        <v>2640</v>
      </c>
      <c r="AU37" s="21"/>
      <c r="AV37" s="21"/>
      <c r="AW37" s="21"/>
      <c r="AX37" s="21">
        <v>2480</v>
      </c>
      <c r="AY37" s="21"/>
      <c r="AZ37" s="21"/>
      <c r="BA37" s="21"/>
      <c r="BB37" s="21">
        <v>1820</v>
      </c>
      <c r="BC37" s="21"/>
      <c r="BD37" s="21"/>
      <c r="BE37" s="21"/>
      <c r="BF37" s="16">
        <f>J37+N37+R37+V37+Z37+AD37+AH37+AL37+AP37+AT37+AX37+BB37</f>
        <v>31000</v>
      </c>
      <c r="BG37" s="16">
        <f>K37+O37+S37+W37+AA37+AE37+AI37+AM37+AQ37+AU37+AY37+BC37</f>
        <v>0</v>
      </c>
      <c r="BH37" s="16">
        <f>L37+P37+T37+X37+AB37+AF37+AJ37+AN37+AR37+AV37+AZ37+BD37</f>
        <v>0</v>
      </c>
      <c r="BI37" s="16">
        <f>M37+Q37+U37+Y37+AC37+AG37+AK37+AO37+AS37+AW37+BA37+BE37</f>
        <v>0</v>
      </c>
      <c r="BJ37" s="16"/>
      <c r="BK37" s="16"/>
      <c r="BL37" s="16"/>
      <c r="BM37" s="28">
        <f>BK37-BI37</f>
        <v>0</v>
      </c>
    </row>
    <row r="38" spans="2:65" x14ac:dyDescent="0.25">
      <c r="B38" s="14">
        <f>SUBTOTAL(3,$C$8:C38)</f>
        <v>31</v>
      </c>
      <c r="C38" s="26" t="s">
        <v>119</v>
      </c>
      <c r="D38" s="15" t="s">
        <v>31</v>
      </c>
      <c r="E38" s="15" t="s">
        <v>286</v>
      </c>
      <c r="F38" s="15" t="s">
        <v>33</v>
      </c>
      <c r="G38" s="15" t="s">
        <v>166</v>
      </c>
      <c r="H38" s="15" t="s">
        <v>170</v>
      </c>
      <c r="I38" s="15" t="s">
        <v>171</v>
      </c>
      <c r="J38" s="21">
        <v>2120</v>
      </c>
      <c r="K38" s="21"/>
      <c r="L38" s="21"/>
      <c r="M38" s="21"/>
      <c r="N38" s="21">
        <v>2120</v>
      </c>
      <c r="O38" s="21"/>
      <c r="P38" s="21"/>
      <c r="Q38" s="21"/>
      <c r="R38" s="21">
        <v>1680</v>
      </c>
      <c r="S38" s="21"/>
      <c r="T38" s="21"/>
      <c r="U38" s="21"/>
      <c r="V38" s="21">
        <v>1920</v>
      </c>
      <c r="W38" s="21"/>
      <c r="X38" s="21"/>
      <c r="Y38" s="21"/>
      <c r="Z38" s="21">
        <v>2160</v>
      </c>
      <c r="AA38" s="21"/>
      <c r="AB38" s="21">
        <v>500</v>
      </c>
      <c r="AC38" s="21"/>
      <c r="AD38" s="21">
        <v>2160</v>
      </c>
      <c r="AE38" s="21"/>
      <c r="AF38" s="21">
        <v>1000</v>
      </c>
      <c r="AG38" s="21"/>
      <c r="AH38" s="21">
        <v>2160</v>
      </c>
      <c r="AI38" s="21"/>
      <c r="AJ38" s="21">
        <v>1500</v>
      </c>
      <c r="AK38" s="21"/>
      <c r="AL38" s="21">
        <v>2160</v>
      </c>
      <c r="AM38" s="21"/>
      <c r="AN38" s="21">
        <v>1500</v>
      </c>
      <c r="AO38" s="21"/>
      <c r="AP38" s="21">
        <v>2160</v>
      </c>
      <c r="AQ38" s="21"/>
      <c r="AR38" s="21">
        <v>1000</v>
      </c>
      <c r="AS38" s="21"/>
      <c r="AT38" s="21">
        <v>2040</v>
      </c>
      <c r="AU38" s="21"/>
      <c r="AV38" s="21">
        <v>1000</v>
      </c>
      <c r="AW38" s="21"/>
      <c r="AX38" s="21">
        <v>1920</v>
      </c>
      <c r="AY38" s="21"/>
      <c r="AZ38" s="21">
        <v>1000</v>
      </c>
      <c r="BA38" s="21"/>
      <c r="BB38" s="21">
        <v>1400</v>
      </c>
      <c r="BC38" s="21"/>
      <c r="BD38" s="21"/>
      <c r="BE38" s="21"/>
      <c r="BF38" s="16">
        <f>J38+N38+R38+V38+Z38+AD38+AH38+AL38+AP38+AT38+AX38+BB38</f>
        <v>24000</v>
      </c>
      <c r="BG38" s="16">
        <f>K38+O38+S38+W38+AA38+AE38+AI38+AM38+AQ38+AU38+AY38+BC38</f>
        <v>0</v>
      </c>
      <c r="BH38" s="16">
        <f>L38+P38+T38+X38+AB38+AF38+AJ38+AN38+AR38+AV38+AZ38+BD38</f>
        <v>7500</v>
      </c>
      <c r="BI38" s="16">
        <f>M38+Q38+U38+Y38+AC38+AG38+AK38+AO38+AS38+AW38+BA38+BE38</f>
        <v>0</v>
      </c>
      <c r="BJ38" s="16">
        <v>10000</v>
      </c>
      <c r="BK38" s="16">
        <v>7500</v>
      </c>
      <c r="BL38" s="16">
        <v>5000</v>
      </c>
      <c r="BM38" s="28">
        <f>BK38-BI38</f>
        <v>7500</v>
      </c>
    </row>
    <row r="39" spans="2:65" x14ac:dyDescent="0.25">
      <c r="B39" s="14">
        <f>SUBTOTAL(3,$C$8:C39)</f>
        <v>32</v>
      </c>
      <c r="C39" s="26" t="s">
        <v>64</v>
      </c>
      <c r="D39" s="15" t="s">
        <v>107</v>
      </c>
      <c r="E39" s="15" t="s">
        <v>287</v>
      </c>
      <c r="F39" s="15" t="s">
        <v>117</v>
      </c>
      <c r="G39" s="15"/>
      <c r="H39" s="15"/>
      <c r="I39" s="15"/>
      <c r="J39" s="21">
        <v>3170</v>
      </c>
      <c r="K39" s="21"/>
      <c r="L39" s="21"/>
      <c r="M39" s="21"/>
      <c r="N39" s="21">
        <v>3170</v>
      </c>
      <c r="O39" s="21"/>
      <c r="P39" s="21"/>
      <c r="Q39" s="21"/>
      <c r="R39" s="21">
        <v>2520</v>
      </c>
      <c r="S39" s="21"/>
      <c r="T39" s="21"/>
      <c r="U39" s="21"/>
      <c r="V39" s="21">
        <v>2880</v>
      </c>
      <c r="W39" s="21"/>
      <c r="X39" s="21"/>
      <c r="Y39" s="21"/>
      <c r="Z39" s="21">
        <v>3240</v>
      </c>
      <c r="AA39" s="21"/>
      <c r="AB39" s="21"/>
      <c r="AC39" s="21"/>
      <c r="AD39" s="21">
        <v>3240</v>
      </c>
      <c r="AE39" s="21"/>
      <c r="AF39" s="21"/>
      <c r="AG39" s="21"/>
      <c r="AH39" s="21">
        <v>3240</v>
      </c>
      <c r="AI39" s="21"/>
      <c r="AJ39" s="21"/>
      <c r="AK39" s="21"/>
      <c r="AL39" s="21">
        <v>3240</v>
      </c>
      <c r="AM39" s="21"/>
      <c r="AN39" s="21"/>
      <c r="AO39" s="21"/>
      <c r="AP39" s="21">
        <v>3240</v>
      </c>
      <c r="AQ39" s="21"/>
      <c r="AR39" s="21"/>
      <c r="AS39" s="21"/>
      <c r="AT39" s="21">
        <v>3060</v>
      </c>
      <c r="AU39" s="21"/>
      <c r="AV39" s="21"/>
      <c r="AW39" s="21"/>
      <c r="AX39" s="21">
        <v>2880</v>
      </c>
      <c r="AY39" s="21"/>
      <c r="AZ39" s="21"/>
      <c r="BA39" s="21"/>
      <c r="BB39" s="21">
        <v>2120</v>
      </c>
      <c r="BC39" s="21"/>
      <c r="BD39" s="21"/>
      <c r="BE39" s="21"/>
      <c r="BF39" s="16">
        <f>J39+N39+R39+V39+Z39+AD39+AH39+AL39+AP39+AT39+AX39+BB39</f>
        <v>36000</v>
      </c>
      <c r="BG39" s="16">
        <f>K39+O39+S39+W39+AA39+AE39+AI39+AM39+AQ39+AU39+AY39+BC39</f>
        <v>0</v>
      </c>
      <c r="BH39" s="16">
        <f>L39+P39+T39+X39+AB39+AF39+AJ39+AN39+AR39+AV39+AZ39+BD39</f>
        <v>0</v>
      </c>
      <c r="BI39" s="16">
        <f>M39+Q39+U39+Y39+AC39+AG39+AK39+AO39+AS39+AW39+BA39+BE39</f>
        <v>0</v>
      </c>
      <c r="BJ39" s="16"/>
      <c r="BK39" s="16"/>
      <c r="BL39" s="16"/>
      <c r="BM39" s="28">
        <f>BK39-BI39</f>
        <v>0</v>
      </c>
    </row>
    <row r="40" spans="2:65" x14ac:dyDescent="0.25">
      <c r="B40" s="14">
        <f>SUBTOTAL(3,$C$8:C40)</f>
        <v>33</v>
      </c>
      <c r="C40" s="26" t="s">
        <v>119</v>
      </c>
      <c r="D40" s="15" t="s">
        <v>31</v>
      </c>
      <c r="E40" s="15" t="s">
        <v>228</v>
      </c>
      <c r="F40" s="15" t="s">
        <v>33</v>
      </c>
      <c r="G40" s="15" t="s">
        <v>166</v>
      </c>
      <c r="H40" s="15" t="s">
        <v>170</v>
      </c>
      <c r="I40" s="15" t="s">
        <v>171</v>
      </c>
      <c r="J40" s="21">
        <v>0</v>
      </c>
      <c r="K40" s="21">
        <v>4435</v>
      </c>
      <c r="L40" s="21"/>
      <c r="M40" s="21">
        <v>76</v>
      </c>
      <c r="N40" s="21">
        <v>0</v>
      </c>
      <c r="O40" s="21"/>
      <c r="P40" s="21"/>
      <c r="Q40" s="21">
        <v>0</v>
      </c>
      <c r="R40" s="21">
        <v>0</v>
      </c>
      <c r="S40" s="21"/>
      <c r="T40" s="21"/>
      <c r="U40" s="21">
        <v>0</v>
      </c>
      <c r="V40" s="21">
        <v>0</v>
      </c>
      <c r="W40" s="21"/>
      <c r="X40" s="21">
        <v>0</v>
      </c>
      <c r="Y40" s="21"/>
      <c r="Z40" s="21">
        <v>0</v>
      </c>
      <c r="AA40" s="21"/>
      <c r="AB40" s="21"/>
      <c r="AC40" s="21"/>
      <c r="AD40" s="21">
        <v>0</v>
      </c>
      <c r="AE40" s="21"/>
      <c r="AF40" s="21"/>
      <c r="AG40" s="21"/>
      <c r="AH40" s="21">
        <v>0</v>
      </c>
      <c r="AI40" s="21"/>
      <c r="AJ40" s="21"/>
      <c r="AK40" s="21"/>
      <c r="AL40" s="21">
        <v>0</v>
      </c>
      <c r="AM40" s="21"/>
      <c r="AN40" s="21"/>
      <c r="AO40" s="21"/>
      <c r="AP40" s="21">
        <v>0</v>
      </c>
      <c r="AQ40" s="21"/>
      <c r="AR40" s="21"/>
      <c r="AS40" s="21"/>
      <c r="AT40" s="21">
        <v>0</v>
      </c>
      <c r="AU40" s="21"/>
      <c r="AV40" s="21"/>
      <c r="AW40" s="21"/>
      <c r="AX40" s="21">
        <v>0</v>
      </c>
      <c r="AY40" s="21"/>
      <c r="AZ40" s="21"/>
      <c r="BA40" s="21"/>
      <c r="BB40" s="21">
        <v>0</v>
      </c>
      <c r="BC40" s="21"/>
      <c r="BD40" s="21"/>
      <c r="BE40" s="21"/>
      <c r="BF40" s="16">
        <f>J40+N40+R40+V40+Z40+AD40+AH40+AL40+AP40+AT40+AX40+BB40</f>
        <v>0</v>
      </c>
      <c r="BG40" s="16">
        <f>K40+O40+S40+W40+AA40+AE40+AI40+AM40+AQ40+AU40+AY40+BC40</f>
        <v>4435</v>
      </c>
      <c r="BH40" s="16">
        <f>L40+P40+T40+X40+AB40+AF40+AJ40+AN40+AR40+AV40+AZ40+BD40</f>
        <v>0</v>
      </c>
      <c r="BI40" s="16">
        <f>M40+Q40+U40+Y40+AC40+AG40+AK40+AO40+AS40+AW40+BA40+BE40</f>
        <v>76</v>
      </c>
      <c r="BJ40" s="16"/>
      <c r="BK40" s="16"/>
      <c r="BL40" s="16"/>
      <c r="BM40" s="28">
        <f>BK40-BI40</f>
        <v>-76</v>
      </c>
    </row>
    <row r="41" spans="2:65" x14ac:dyDescent="0.25">
      <c r="B41" s="14">
        <f>SUBTOTAL(3,$C$8:C41)</f>
        <v>34</v>
      </c>
      <c r="C41" s="26" t="s">
        <v>119</v>
      </c>
      <c r="D41" s="15" t="s">
        <v>11</v>
      </c>
      <c r="E41" s="15" t="s">
        <v>288</v>
      </c>
      <c r="F41" s="15" t="s">
        <v>29</v>
      </c>
      <c r="G41" s="15"/>
      <c r="H41" s="15"/>
      <c r="I41" s="15"/>
      <c r="J41" s="21">
        <v>3600</v>
      </c>
      <c r="K41" s="21"/>
      <c r="L41" s="21"/>
      <c r="M41" s="21"/>
      <c r="N41" s="21">
        <v>3600</v>
      </c>
      <c r="O41" s="21"/>
      <c r="P41" s="21"/>
      <c r="Q41" s="21"/>
      <c r="R41" s="21">
        <v>2860</v>
      </c>
      <c r="S41" s="21"/>
      <c r="T41" s="21"/>
      <c r="U41" s="21"/>
      <c r="V41" s="21">
        <v>3270</v>
      </c>
      <c r="W41" s="21"/>
      <c r="X41" s="21"/>
      <c r="Y41" s="21"/>
      <c r="Z41" s="21">
        <v>3680</v>
      </c>
      <c r="AA41" s="21"/>
      <c r="AB41" s="21"/>
      <c r="AC41" s="21"/>
      <c r="AD41" s="21">
        <v>3680</v>
      </c>
      <c r="AE41" s="21"/>
      <c r="AF41" s="21"/>
      <c r="AG41" s="21"/>
      <c r="AH41" s="21">
        <v>3680</v>
      </c>
      <c r="AI41" s="21"/>
      <c r="AJ41" s="21"/>
      <c r="AK41" s="21"/>
      <c r="AL41" s="21">
        <v>3680</v>
      </c>
      <c r="AM41" s="21"/>
      <c r="AN41" s="21"/>
      <c r="AO41" s="21"/>
      <c r="AP41" s="21">
        <v>3680</v>
      </c>
      <c r="AQ41" s="21"/>
      <c r="AR41" s="21"/>
      <c r="AS41" s="21"/>
      <c r="AT41" s="21">
        <v>3470</v>
      </c>
      <c r="AU41" s="21"/>
      <c r="AV41" s="21"/>
      <c r="AW41" s="21"/>
      <c r="AX41" s="21">
        <v>3270</v>
      </c>
      <c r="AY41" s="21"/>
      <c r="AZ41" s="21"/>
      <c r="BA41" s="21"/>
      <c r="BB41" s="21">
        <v>2330</v>
      </c>
      <c r="BC41" s="21"/>
      <c r="BD41" s="21"/>
      <c r="BE41" s="21"/>
      <c r="BF41" s="16">
        <f>J41+N41+R41+V41+Z41+AD41+AH41+AL41+AP41+AT41+AX41+BB41</f>
        <v>40800</v>
      </c>
      <c r="BG41" s="16">
        <f>K41+O41+S41+W41+AA41+AE41+AI41+AM41+AQ41+AU41+AY41+BC41</f>
        <v>0</v>
      </c>
      <c r="BH41" s="16">
        <f>L41+P41+T41+X41+AB41+AF41+AJ41+AN41+AR41+AV41+AZ41+BD41</f>
        <v>0</v>
      </c>
      <c r="BI41" s="16">
        <f>M41+Q41+U41+Y41+AC41+AG41+AK41+AO41+AS41+AW41+BA41+BE41</f>
        <v>0</v>
      </c>
      <c r="BJ41" s="16"/>
      <c r="BK41" s="16"/>
      <c r="BL41" s="16"/>
      <c r="BM41" s="28">
        <f>BK41-BI41</f>
        <v>0</v>
      </c>
    </row>
    <row r="42" spans="2:65" x14ac:dyDescent="0.25">
      <c r="B42" s="14">
        <f>SUBTOTAL(3,$C$8:C42)</f>
        <v>35</v>
      </c>
      <c r="C42" s="26" t="s">
        <v>66</v>
      </c>
      <c r="D42" s="15" t="s">
        <v>105</v>
      </c>
      <c r="E42" s="15" t="s">
        <v>105</v>
      </c>
      <c r="F42" s="15" t="s">
        <v>118</v>
      </c>
      <c r="G42" s="15" t="s">
        <v>186</v>
      </c>
      <c r="H42" s="15" t="s">
        <v>187</v>
      </c>
      <c r="I42" s="15" t="s">
        <v>209</v>
      </c>
      <c r="J42" s="21">
        <v>4070</v>
      </c>
      <c r="K42" s="21">
        <v>5297</v>
      </c>
      <c r="L42" s="21"/>
      <c r="M42" s="21">
        <v>402</v>
      </c>
      <c r="N42" s="21">
        <v>4070</v>
      </c>
      <c r="O42" s="21">
        <v>7472</v>
      </c>
      <c r="P42" s="21"/>
      <c r="Q42" s="21">
        <v>279</v>
      </c>
      <c r="R42" s="21">
        <v>3240</v>
      </c>
      <c r="S42" s="21">
        <v>5637</v>
      </c>
      <c r="T42" s="21"/>
      <c r="U42" s="21">
        <v>498</v>
      </c>
      <c r="V42" s="21">
        <v>3700</v>
      </c>
      <c r="W42" s="21"/>
      <c r="X42" s="21">
        <v>1104</v>
      </c>
      <c r="Y42" s="21"/>
      <c r="Z42" s="21">
        <v>4160</v>
      </c>
      <c r="AA42" s="21"/>
      <c r="AB42" s="21">
        <v>1500</v>
      </c>
      <c r="AC42" s="21"/>
      <c r="AD42" s="21">
        <v>4160</v>
      </c>
      <c r="AE42" s="21"/>
      <c r="AF42" s="21">
        <v>2000</v>
      </c>
      <c r="AG42" s="21"/>
      <c r="AH42" s="21">
        <v>4160</v>
      </c>
      <c r="AI42" s="21"/>
      <c r="AJ42" s="21">
        <v>2000</v>
      </c>
      <c r="AK42" s="21"/>
      <c r="AL42" s="21">
        <v>4160</v>
      </c>
      <c r="AM42" s="21"/>
      <c r="AN42" s="21">
        <v>2500</v>
      </c>
      <c r="AO42" s="21"/>
      <c r="AP42" s="21">
        <v>4160</v>
      </c>
      <c r="AQ42" s="21"/>
      <c r="AR42" s="21">
        <v>2500</v>
      </c>
      <c r="AS42" s="21"/>
      <c r="AT42" s="21">
        <v>3930</v>
      </c>
      <c r="AU42" s="21"/>
      <c r="AV42" s="21">
        <v>2500</v>
      </c>
      <c r="AW42" s="21"/>
      <c r="AX42" s="21">
        <v>3700</v>
      </c>
      <c r="AY42" s="21"/>
      <c r="AZ42" s="21">
        <v>2500</v>
      </c>
      <c r="BA42" s="21"/>
      <c r="BB42" s="21">
        <v>2690</v>
      </c>
      <c r="BC42" s="21"/>
      <c r="BD42" s="21"/>
      <c r="BE42" s="21"/>
      <c r="BF42" s="16">
        <f>J42+N42+R42+V42+Z42+AD42+AH42+AL42+AP42+AT42+AX42+BB42</f>
        <v>46200</v>
      </c>
      <c r="BG42" s="16">
        <f>K42+O42+S42+W42+AA42+AE42+AI42+AM42+AQ42+AU42+AY42+BC42</f>
        <v>18406</v>
      </c>
      <c r="BH42" s="16">
        <f>L42+P42+T42+X42+AB42+AF42+AJ42+AN42+AR42+AV42+AZ42+BD42</f>
        <v>16604</v>
      </c>
      <c r="BI42" s="16">
        <f>M42+Q42+U42+Y42+AC42+AG42+AK42+AO42+AS42+AW42+BA42+BE42</f>
        <v>1179</v>
      </c>
      <c r="BJ42" s="16">
        <v>15000</v>
      </c>
      <c r="BK42" s="16">
        <v>10000</v>
      </c>
      <c r="BL42" s="16">
        <v>7000</v>
      </c>
      <c r="BM42" s="28">
        <f>BK42-BI42</f>
        <v>8821</v>
      </c>
    </row>
    <row r="43" spans="2:65" x14ac:dyDescent="0.25">
      <c r="B43" s="14">
        <f>SUBTOTAL(3,$C$8:C43)</f>
        <v>36</v>
      </c>
      <c r="C43" s="26" t="s">
        <v>119</v>
      </c>
      <c r="D43" s="15" t="s">
        <v>31</v>
      </c>
      <c r="E43" s="15" t="s">
        <v>289</v>
      </c>
      <c r="F43" s="15" t="s">
        <v>33</v>
      </c>
      <c r="G43" s="15"/>
      <c r="H43" s="15"/>
      <c r="I43" s="15"/>
      <c r="J43" s="21">
        <v>5640</v>
      </c>
      <c r="K43" s="21"/>
      <c r="L43" s="21"/>
      <c r="M43" s="21"/>
      <c r="N43" s="21">
        <v>5640</v>
      </c>
      <c r="O43" s="21"/>
      <c r="P43" s="21"/>
      <c r="Q43" s="21"/>
      <c r="R43" s="21">
        <v>4480</v>
      </c>
      <c r="S43" s="21"/>
      <c r="T43" s="21"/>
      <c r="U43" s="21"/>
      <c r="V43" s="21">
        <v>5120</v>
      </c>
      <c r="W43" s="21"/>
      <c r="X43" s="21"/>
      <c r="Y43" s="21"/>
      <c r="Z43" s="21">
        <v>5760</v>
      </c>
      <c r="AA43" s="21"/>
      <c r="AB43" s="21"/>
      <c r="AC43" s="21"/>
      <c r="AD43" s="21">
        <v>5760</v>
      </c>
      <c r="AE43" s="21"/>
      <c r="AF43" s="21"/>
      <c r="AG43" s="21"/>
      <c r="AH43" s="21">
        <v>5760</v>
      </c>
      <c r="AI43" s="21"/>
      <c r="AJ43" s="21"/>
      <c r="AK43" s="21"/>
      <c r="AL43" s="21">
        <v>5760</v>
      </c>
      <c r="AM43" s="21"/>
      <c r="AN43" s="21"/>
      <c r="AO43" s="21"/>
      <c r="AP43" s="21">
        <v>5760</v>
      </c>
      <c r="AQ43" s="21"/>
      <c r="AR43" s="21"/>
      <c r="AS43" s="21"/>
      <c r="AT43" s="21">
        <v>5440</v>
      </c>
      <c r="AU43" s="21"/>
      <c r="AV43" s="21"/>
      <c r="AW43" s="21"/>
      <c r="AX43" s="21">
        <v>5120</v>
      </c>
      <c r="AY43" s="21"/>
      <c r="AZ43" s="21"/>
      <c r="BA43" s="21"/>
      <c r="BB43" s="21">
        <v>3760</v>
      </c>
      <c r="BC43" s="21"/>
      <c r="BD43" s="21"/>
      <c r="BE43" s="21"/>
      <c r="BF43" s="16">
        <f>J43+N43+R43+V43+Z43+AD43+AH43+AL43+AP43+AT43+AX43+BB43</f>
        <v>64000</v>
      </c>
      <c r="BG43" s="16">
        <f>K43+O43+S43+W43+AA43+AE43+AI43+AM43+AQ43+AU43+AY43+BC43</f>
        <v>0</v>
      </c>
      <c r="BH43" s="16">
        <f>L43+P43+T43+X43+AB43+AF43+AJ43+AN43+AR43+AV43+AZ43+BD43</f>
        <v>0</v>
      </c>
      <c r="BI43" s="16">
        <f>M43+Q43+U43+Y43+AC43+AG43+AK43+AO43+AS43+AW43+BA43+BE43</f>
        <v>0</v>
      </c>
      <c r="BJ43" s="16"/>
      <c r="BK43" s="16"/>
      <c r="BL43" s="16"/>
      <c r="BM43" s="28">
        <f>BK43-BI43</f>
        <v>0</v>
      </c>
    </row>
    <row r="44" spans="2:65" x14ac:dyDescent="0.25">
      <c r="B44" s="14">
        <f>SUBTOTAL(3,$C$8:C44)</f>
        <v>37</v>
      </c>
      <c r="C44" s="26" t="s">
        <v>64</v>
      </c>
      <c r="D44" s="15" t="s">
        <v>107</v>
      </c>
      <c r="E44" s="15" t="s">
        <v>290</v>
      </c>
      <c r="F44" s="15" t="s">
        <v>117</v>
      </c>
      <c r="G44" s="15"/>
      <c r="H44" s="15"/>
      <c r="I44" s="15"/>
      <c r="J44" s="21">
        <v>4580</v>
      </c>
      <c r="K44" s="21"/>
      <c r="L44" s="21"/>
      <c r="M44" s="21"/>
      <c r="N44" s="21">
        <v>4580</v>
      </c>
      <c r="O44" s="21"/>
      <c r="P44" s="21"/>
      <c r="Q44" s="21"/>
      <c r="R44" s="21">
        <v>3640</v>
      </c>
      <c r="S44" s="21"/>
      <c r="T44" s="21"/>
      <c r="U44" s="21"/>
      <c r="V44" s="21">
        <v>4160</v>
      </c>
      <c r="W44" s="21"/>
      <c r="X44" s="21"/>
      <c r="Y44" s="21"/>
      <c r="Z44" s="21">
        <v>4680</v>
      </c>
      <c r="AA44" s="21"/>
      <c r="AB44" s="21"/>
      <c r="AC44" s="21"/>
      <c r="AD44" s="21">
        <v>4680</v>
      </c>
      <c r="AE44" s="21"/>
      <c r="AF44" s="21"/>
      <c r="AG44" s="21"/>
      <c r="AH44" s="21">
        <v>4680</v>
      </c>
      <c r="AI44" s="21"/>
      <c r="AJ44" s="21"/>
      <c r="AK44" s="21"/>
      <c r="AL44" s="21">
        <v>4680</v>
      </c>
      <c r="AM44" s="21"/>
      <c r="AN44" s="21"/>
      <c r="AO44" s="21"/>
      <c r="AP44" s="21">
        <v>4680</v>
      </c>
      <c r="AQ44" s="21"/>
      <c r="AR44" s="21"/>
      <c r="AS44" s="21"/>
      <c r="AT44" s="21">
        <v>4420</v>
      </c>
      <c r="AU44" s="21"/>
      <c r="AV44" s="21"/>
      <c r="AW44" s="21"/>
      <c r="AX44" s="21">
        <v>4160</v>
      </c>
      <c r="AY44" s="21"/>
      <c r="AZ44" s="21"/>
      <c r="BA44" s="21"/>
      <c r="BB44" s="21">
        <v>3060</v>
      </c>
      <c r="BC44" s="21"/>
      <c r="BD44" s="21"/>
      <c r="BE44" s="21"/>
      <c r="BF44" s="16">
        <f>J44+N44+R44+V44+Z44+AD44+AH44+AL44+AP44+AT44+AX44+BB44</f>
        <v>52000</v>
      </c>
      <c r="BG44" s="16">
        <f>K44+O44+S44+W44+AA44+AE44+AI44+AM44+AQ44+AU44+AY44+BC44</f>
        <v>0</v>
      </c>
      <c r="BH44" s="16">
        <f>L44+P44+T44+X44+AB44+AF44+AJ44+AN44+AR44+AV44+AZ44+BD44</f>
        <v>0</v>
      </c>
      <c r="BI44" s="16">
        <f>M44+Q44+U44+Y44+AC44+AG44+AK44+AO44+AS44+AW44+BA44+BE44</f>
        <v>0</v>
      </c>
      <c r="BJ44" s="16"/>
      <c r="BK44" s="16"/>
      <c r="BL44" s="16"/>
      <c r="BM44" s="28">
        <f>BK44-BI44</f>
        <v>0</v>
      </c>
    </row>
    <row r="45" spans="2:65" x14ac:dyDescent="0.25">
      <c r="B45" s="14">
        <f>SUBTOTAL(3,$C$8:C45)</f>
        <v>38</v>
      </c>
      <c r="C45" s="26" t="s">
        <v>119</v>
      </c>
      <c r="D45" s="15" t="s">
        <v>31</v>
      </c>
      <c r="E45" s="15" t="s">
        <v>291</v>
      </c>
      <c r="F45" s="15" t="s">
        <v>33</v>
      </c>
      <c r="G45" s="15"/>
      <c r="H45" s="15"/>
      <c r="I45" s="15"/>
      <c r="J45" s="21">
        <v>3440</v>
      </c>
      <c r="K45" s="21"/>
      <c r="L45" s="21"/>
      <c r="M45" s="21"/>
      <c r="N45" s="21">
        <v>3440</v>
      </c>
      <c r="O45" s="21"/>
      <c r="P45" s="21"/>
      <c r="Q45" s="21"/>
      <c r="R45" s="21">
        <v>2730</v>
      </c>
      <c r="S45" s="21"/>
      <c r="T45" s="21"/>
      <c r="U45" s="21"/>
      <c r="V45" s="21">
        <v>3120</v>
      </c>
      <c r="W45" s="21"/>
      <c r="X45" s="21"/>
      <c r="Y45" s="21"/>
      <c r="Z45" s="21">
        <v>3510</v>
      </c>
      <c r="AA45" s="21"/>
      <c r="AB45" s="21"/>
      <c r="AC45" s="21"/>
      <c r="AD45" s="21">
        <v>3510</v>
      </c>
      <c r="AE45" s="21"/>
      <c r="AF45" s="21"/>
      <c r="AG45" s="21"/>
      <c r="AH45" s="21">
        <v>3510</v>
      </c>
      <c r="AI45" s="21"/>
      <c r="AJ45" s="21"/>
      <c r="AK45" s="21"/>
      <c r="AL45" s="21">
        <v>3510</v>
      </c>
      <c r="AM45" s="21"/>
      <c r="AN45" s="21"/>
      <c r="AO45" s="21"/>
      <c r="AP45" s="21">
        <v>3510</v>
      </c>
      <c r="AQ45" s="21"/>
      <c r="AR45" s="21"/>
      <c r="AS45" s="21"/>
      <c r="AT45" s="21">
        <v>3320</v>
      </c>
      <c r="AU45" s="21"/>
      <c r="AV45" s="21"/>
      <c r="AW45" s="21"/>
      <c r="AX45" s="21">
        <v>3120</v>
      </c>
      <c r="AY45" s="21"/>
      <c r="AZ45" s="21"/>
      <c r="BA45" s="21"/>
      <c r="BB45" s="21">
        <v>2280</v>
      </c>
      <c r="BC45" s="21"/>
      <c r="BD45" s="21"/>
      <c r="BE45" s="21"/>
      <c r="BF45" s="16">
        <f>J45+N45+R45+V45+Z45+AD45+AH45+AL45+AP45+AT45+AX45+BB45</f>
        <v>39000</v>
      </c>
      <c r="BG45" s="16">
        <f>K45+O45+S45+W45+AA45+AE45+AI45+AM45+AQ45+AU45+AY45+BC45</f>
        <v>0</v>
      </c>
      <c r="BH45" s="16">
        <f>L45+P45+T45+X45+AB45+AF45+AJ45+AN45+AR45+AV45+AZ45+BD45</f>
        <v>0</v>
      </c>
      <c r="BI45" s="16">
        <f>M45+Q45+U45+Y45+AC45+AG45+AK45+AO45+AS45+AW45+BA45+BE45</f>
        <v>0</v>
      </c>
      <c r="BJ45" s="16"/>
      <c r="BK45" s="16"/>
      <c r="BL45" s="16"/>
      <c r="BM45" s="28">
        <f>BK45-BI45</f>
        <v>0</v>
      </c>
    </row>
    <row r="46" spans="2:65" x14ac:dyDescent="0.25">
      <c r="B46" s="14">
        <f>SUBTOTAL(3,$C$8:C46)</f>
        <v>39</v>
      </c>
      <c r="C46" s="26" t="s">
        <v>119</v>
      </c>
      <c r="D46" s="15" t="s">
        <v>31</v>
      </c>
      <c r="E46" s="15" t="s">
        <v>237</v>
      </c>
      <c r="F46" s="15" t="s">
        <v>33</v>
      </c>
      <c r="G46" s="15" t="s">
        <v>166</v>
      </c>
      <c r="H46" s="15" t="s">
        <v>170</v>
      </c>
      <c r="I46" s="15" t="s">
        <v>173</v>
      </c>
      <c r="J46" s="21">
        <v>3170</v>
      </c>
      <c r="K46" s="21">
        <v>1796</v>
      </c>
      <c r="L46" s="21"/>
      <c r="M46" s="21">
        <v>256</v>
      </c>
      <c r="N46" s="21">
        <v>3170</v>
      </c>
      <c r="O46" s="21">
        <v>2050</v>
      </c>
      <c r="P46" s="21"/>
      <c r="Q46" s="21">
        <v>0</v>
      </c>
      <c r="R46" s="21">
        <v>2520</v>
      </c>
      <c r="S46" s="21">
        <v>1648</v>
      </c>
      <c r="T46" s="21"/>
      <c r="U46" s="21">
        <v>0</v>
      </c>
      <c r="V46" s="21">
        <v>2880</v>
      </c>
      <c r="W46" s="21"/>
      <c r="X46" s="21">
        <v>1089</v>
      </c>
      <c r="Y46" s="21"/>
      <c r="Z46" s="21">
        <v>3240</v>
      </c>
      <c r="AA46" s="21"/>
      <c r="AB46" s="21">
        <v>1000</v>
      </c>
      <c r="AC46" s="21"/>
      <c r="AD46" s="21">
        <v>3240</v>
      </c>
      <c r="AE46" s="21"/>
      <c r="AF46" s="21">
        <v>1000</v>
      </c>
      <c r="AG46" s="21"/>
      <c r="AH46" s="21">
        <v>3240</v>
      </c>
      <c r="AI46" s="21"/>
      <c r="AJ46" s="21">
        <v>1000</v>
      </c>
      <c r="AK46" s="21"/>
      <c r="AL46" s="21">
        <v>3240</v>
      </c>
      <c r="AM46" s="21"/>
      <c r="AN46" s="21">
        <v>1500</v>
      </c>
      <c r="AO46" s="21"/>
      <c r="AP46" s="21">
        <v>3240</v>
      </c>
      <c r="AQ46" s="21"/>
      <c r="AR46" s="21">
        <v>1500</v>
      </c>
      <c r="AS46" s="21"/>
      <c r="AT46" s="21">
        <v>3060</v>
      </c>
      <c r="AU46" s="21"/>
      <c r="AV46" s="21">
        <v>1500</v>
      </c>
      <c r="AW46" s="21"/>
      <c r="AX46" s="21">
        <v>2880</v>
      </c>
      <c r="AY46" s="21"/>
      <c r="AZ46" s="21">
        <v>1500</v>
      </c>
      <c r="BA46" s="21"/>
      <c r="BB46" s="21">
        <v>2120</v>
      </c>
      <c r="BC46" s="21"/>
      <c r="BD46" s="21"/>
      <c r="BE46" s="21"/>
      <c r="BF46" s="16">
        <f>J46+N46+R46+V46+Z46+AD46+AH46+AL46+AP46+AT46+AX46+BB46</f>
        <v>36000</v>
      </c>
      <c r="BG46" s="16">
        <f>K46+O46+S46+W46+AA46+AE46+AI46+AM46+AQ46+AU46+AY46+BC46</f>
        <v>5494</v>
      </c>
      <c r="BH46" s="16">
        <f>L46+P46+T46+X46+AB46+AF46+AJ46+AN46+AR46+AV46+AZ46+BD46</f>
        <v>10089</v>
      </c>
      <c r="BI46" s="16">
        <f>M46+Q46+U46+Y46+AC46+AG46+AK46+AO46+AS46+AW46+BA46+BE46</f>
        <v>256</v>
      </c>
      <c r="BJ46" s="16">
        <v>15000</v>
      </c>
      <c r="BK46" s="16">
        <v>10000</v>
      </c>
      <c r="BL46" s="16">
        <v>7000</v>
      </c>
      <c r="BM46" s="28">
        <f>BK46-BI46</f>
        <v>9744</v>
      </c>
    </row>
    <row r="47" spans="2:65" x14ac:dyDescent="0.25">
      <c r="B47" s="14">
        <f>SUBTOTAL(3,$C$8:C47)</f>
        <v>40</v>
      </c>
      <c r="C47" s="26" t="s">
        <v>119</v>
      </c>
      <c r="D47" s="15" t="s">
        <v>31</v>
      </c>
      <c r="E47" s="15" t="s">
        <v>292</v>
      </c>
      <c r="F47" s="15" t="s">
        <v>33</v>
      </c>
      <c r="G47" s="15"/>
      <c r="H47" s="15"/>
      <c r="I47" s="15"/>
      <c r="J47" s="21">
        <v>4760</v>
      </c>
      <c r="K47" s="21"/>
      <c r="L47" s="21"/>
      <c r="M47" s="21"/>
      <c r="N47" s="21">
        <v>4760</v>
      </c>
      <c r="O47" s="21"/>
      <c r="P47" s="21"/>
      <c r="Q47" s="21"/>
      <c r="R47" s="21">
        <v>3780</v>
      </c>
      <c r="S47" s="21"/>
      <c r="T47" s="21"/>
      <c r="U47" s="21"/>
      <c r="V47" s="21">
        <v>4320</v>
      </c>
      <c r="W47" s="21"/>
      <c r="X47" s="21"/>
      <c r="Y47" s="21"/>
      <c r="Z47" s="21">
        <v>4860</v>
      </c>
      <c r="AA47" s="21"/>
      <c r="AB47" s="21"/>
      <c r="AC47" s="21"/>
      <c r="AD47" s="21">
        <v>4860</v>
      </c>
      <c r="AE47" s="21"/>
      <c r="AF47" s="21"/>
      <c r="AG47" s="21"/>
      <c r="AH47" s="21">
        <v>4860</v>
      </c>
      <c r="AI47" s="21"/>
      <c r="AJ47" s="21"/>
      <c r="AK47" s="21"/>
      <c r="AL47" s="21">
        <v>4860</v>
      </c>
      <c r="AM47" s="21"/>
      <c r="AN47" s="21"/>
      <c r="AO47" s="21"/>
      <c r="AP47" s="21">
        <v>4860</v>
      </c>
      <c r="AQ47" s="21"/>
      <c r="AR47" s="21"/>
      <c r="AS47" s="21"/>
      <c r="AT47" s="21">
        <v>4590</v>
      </c>
      <c r="AU47" s="21"/>
      <c r="AV47" s="21"/>
      <c r="AW47" s="21"/>
      <c r="AX47" s="21">
        <v>4320</v>
      </c>
      <c r="AY47" s="21"/>
      <c r="AZ47" s="21"/>
      <c r="BA47" s="21"/>
      <c r="BB47" s="21">
        <v>3170</v>
      </c>
      <c r="BC47" s="21"/>
      <c r="BD47" s="21"/>
      <c r="BE47" s="21"/>
      <c r="BF47" s="16">
        <f>J47+N47+R47+V47+Z47+AD47+AH47+AL47+AP47+AT47+AX47+BB47</f>
        <v>54000</v>
      </c>
      <c r="BG47" s="16">
        <f>K47+O47+S47+W47+AA47+AE47+AI47+AM47+AQ47+AU47+AY47+BC47</f>
        <v>0</v>
      </c>
      <c r="BH47" s="16">
        <f>L47+P47+T47+X47+AB47+AF47+AJ47+AN47+AR47+AV47+AZ47+BD47</f>
        <v>0</v>
      </c>
      <c r="BI47" s="16">
        <f>M47+Q47+U47+Y47+AC47+AG47+AK47+AO47+AS47+AW47+BA47+BE47</f>
        <v>0</v>
      </c>
      <c r="BJ47" s="16"/>
      <c r="BK47" s="16"/>
      <c r="BL47" s="16"/>
      <c r="BM47" s="28">
        <f>BK47-BI47</f>
        <v>0</v>
      </c>
    </row>
    <row r="48" spans="2:65" x14ac:dyDescent="0.25">
      <c r="B48" s="14">
        <f>SUBTOTAL(3,$C$8:C48)</f>
        <v>41</v>
      </c>
      <c r="C48" s="26" t="s">
        <v>119</v>
      </c>
      <c r="D48" s="15" t="s">
        <v>31</v>
      </c>
      <c r="E48" s="15" t="s">
        <v>293</v>
      </c>
      <c r="F48" s="15" t="s">
        <v>33</v>
      </c>
      <c r="G48" s="15"/>
      <c r="H48" s="15"/>
      <c r="I48" s="15"/>
      <c r="J48" s="21">
        <v>2910</v>
      </c>
      <c r="K48" s="21"/>
      <c r="L48" s="21"/>
      <c r="M48" s="21"/>
      <c r="N48" s="21">
        <v>2910</v>
      </c>
      <c r="O48" s="21"/>
      <c r="P48" s="21"/>
      <c r="Q48" s="21"/>
      <c r="R48" s="21">
        <v>2310</v>
      </c>
      <c r="S48" s="21"/>
      <c r="T48" s="21"/>
      <c r="U48" s="21"/>
      <c r="V48" s="21">
        <v>2640</v>
      </c>
      <c r="W48" s="21"/>
      <c r="X48" s="21"/>
      <c r="Y48" s="21"/>
      <c r="Z48" s="21">
        <v>2970</v>
      </c>
      <c r="AA48" s="21"/>
      <c r="AB48" s="21"/>
      <c r="AC48" s="21"/>
      <c r="AD48" s="21">
        <v>2970</v>
      </c>
      <c r="AE48" s="21"/>
      <c r="AF48" s="21"/>
      <c r="AG48" s="21"/>
      <c r="AH48" s="21">
        <v>2970</v>
      </c>
      <c r="AI48" s="21"/>
      <c r="AJ48" s="21"/>
      <c r="AK48" s="21"/>
      <c r="AL48" s="21">
        <v>2970</v>
      </c>
      <c r="AM48" s="21"/>
      <c r="AN48" s="21"/>
      <c r="AO48" s="21"/>
      <c r="AP48" s="21">
        <v>2970</v>
      </c>
      <c r="AQ48" s="21"/>
      <c r="AR48" s="21"/>
      <c r="AS48" s="21"/>
      <c r="AT48" s="21">
        <v>2810</v>
      </c>
      <c r="AU48" s="21"/>
      <c r="AV48" s="21"/>
      <c r="AW48" s="21"/>
      <c r="AX48" s="21">
        <v>2640</v>
      </c>
      <c r="AY48" s="21"/>
      <c r="AZ48" s="21"/>
      <c r="BA48" s="21"/>
      <c r="BB48" s="21">
        <v>1930</v>
      </c>
      <c r="BC48" s="21"/>
      <c r="BD48" s="21"/>
      <c r="BE48" s="21"/>
      <c r="BF48" s="16">
        <f>J48+N48+R48+V48+Z48+AD48+AH48+AL48+AP48+AT48+AX48+BB48</f>
        <v>33000</v>
      </c>
      <c r="BG48" s="16">
        <f>K48+O48+S48+W48+AA48+AE48+AI48+AM48+AQ48+AU48+AY48+BC48</f>
        <v>0</v>
      </c>
      <c r="BH48" s="16">
        <f>L48+P48+T48+X48+AB48+AF48+AJ48+AN48+AR48+AV48+AZ48+BD48</f>
        <v>0</v>
      </c>
      <c r="BI48" s="16">
        <f>M48+Q48+U48+Y48+AC48+AG48+AK48+AO48+AS48+AW48+BA48+BE48</f>
        <v>0</v>
      </c>
      <c r="BJ48" s="16"/>
      <c r="BK48" s="16"/>
      <c r="BL48" s="16"/>
      <c r="BM48" s="28">
        <f>BK48-BI48</f>
        <v>0</v>
      </c>
    </row>
    <row r="49" spans="2:65" x14ac:dyDescent="0.25">
      <c r="B49" s="14">
        <f>SUBTOTAL(3,$C$8:C49)</f>
        <v>42</v>
      </c>
      <c r="C49" s="26" t="s">
        <v>119</v>
      </c>
      <c r="D49" s="15" t="s">
        <v>113</v>
      </c>
      <c r="E49" s="15" t="s">
        <v>262</v>
      </c>
      <c r="F49" s="15" t="s">
        <v>29</v>
      </c>
      <c r="G49" s="15" t="s">
        <v>166</v>
      </c>
      <c r="H49" s="15" t="s">
        <v>169</v>
      </c>
      <c r="I49" s="15" t="s">
        <v>169</v>
      </c>
      <c r="J49" s="21">
        <v>5280</v>
      </c>
      <c r="K49" s="21">
        <v>4463</v>
      </c>
      <c r="L49" s="21"/>
      <c r="M49" s="21"/>
      <c r="N49" s="21">
        <v>5280</v>
      </c>
      <c r="O49" s="21"/>
      <c r="P49" s="21"/>
      <c r="Q49" s="21"/>
      <c r="R49" s="21">
        <v>4200</v>
      </c>
      <c r="S49" s="21">
        <v>6278</v>
      </c>
      <c r="T49" s="21"/>
      <c r="U49" s="21"/>
      <c r="V49" s="21">
        <v>4800</v>
      </c>
      <c r="W49" s="21"/>
      <c r="X49" s="21">
        <v>224</v>
      </c>
      <c r="Y49" s="21"/>
      <c r="Z49" s="21">
        <v>5400</v>
      </c>
      <c r="AA49" s="21"/>
      <c r="AB49" s="21">
        <v>500</v>
      </c>
      <c r="AC49" s="21"/>
      <c r="AD49" s="21">
        <v>5400</v>
      </c>
      <c r="AE49" s="21"/>
      <c r="AF49" s="21">
        <v>500</v>
      </c>
      <c r="AG49" s="21"/>
      <c r="AH49" s="21">
        <v>5400</v>
      </c>
      <c r="AI49" s="21"/>
      <c r="AJ49" s="21">
        <v>500</v>
      </c>
      <c r="AK49" s="21"/>
      <c r="AL49" s="21">
        <v>5400</v>
      </c>
      <c r="AM49" s="21"/>
      <c r="AN49" s="21">
        <v>500</v>
      </c>
      <c r="AO49" s="21"/>
      <c r="AP49" s="21">
        <v>5400</v>
      </c>
      <c r="AQ49" s="21"/>
      <c r="AR49" s="21">
        <v>500</v>
      </c>
      <c r="AS49" s="21"/>
      <c r="AT49" s="21">
        <v>5100</v>
      </c>
      <c r="AU49" s="21"/>
      <c r="AV49" s="21">
        <v>500</v>
      </c>
      <c r="AW49" s="21"/>
      <c r="AX49" s="21">
        <v>4800</v>
      </c>
      <c r="AY49" s="21"/>
      <c r="AZ49" s="21">
        <v>500</v>
      </c>
      <c r="BA49" s="21"/>
      <c r="BB49" s="21">
        <v>3540</v>
      </c>
      <c r="BC49" s="21"/>
      <c r="BD49" s="21"/>
      <c r="BE49" s="21"/>
      <c r="BF49" s="16">
        <f>J49+N49+R49+V49+Z49+AD49+AH49+AL49+AP49+AT49+AX49+BB49</f>
        <v>60000</v>
      </c>
      <c r="BG49" s="16">
        <f>K49+O49+S49+W49+AA49+AE49+AI49+AM49+AQ49+AU49+AY49+BC49</f>
        <v>10741</v>
      </c>
      <c r="BH49" s="16">
        <f>L49+P49+T49+X49+AB49+AF49+AJ49+AN49+AR49+AV49+AZ49+BD49</f>
        <v>3724</v>
      </c>
      <c r="BI49" s="16">
        <f>M49+Q49+U49+Y49+AC49+AG49+AK49+AO49+AS49+AW49+BA49+BE49</f>
        <v>0</v>
      </c>
      <c r="BJ49" s="16">
        <v>5000</v>
      </c>
      <c r="BK49" s="16">
        <v>3500</v>
      </c>
      <c r="BL49" s="16">
        <v>3000</v>
      </c>
      <c r="BM49" s="28">
        <f>BK49-BI49</f>
        <v>3500</v>
      </c>
    </row>
    <row r="50" spans="2:65" x14ac:dyDescent="0.25">
      <c r="B50" s="14">
        <f>SUBTOTAL(3,$C$8:C50)</f>
        <v>43</v>
      </c>
      <c r="C50" s="26" t="s">
        <v>119</v>
      </c>
      <c r="D50" s="15" t="s">
        <v>31</v>
      </c>
      <c r="E50" s="15" t="s">
        <v>239</v>
      </c>
      <c r="F50" s="15" t="s">
        <v>33</v>
      </c>
      <c r="G50" s="15" t="s">
        <v>166</v>
      </c>
      <c r="H50" s="15" t="s">
        <v>170</v>
      </c>
      <c r="I50" s="15" t="s">
        <v>174</v>
      </c>
      <c r="J50" s="21">
        <v>1750</v>
      </c>
      <c r="K50" s="21">
        <v>588</v>
      </c>
      <c r="L50" s="21"/>
      <c r="M50" s="21"/>
      <c r="N50" s="21">
        <v>1750</v>
      </c>
      <c r="O50" s="21"/>
      <c r="P50" s="21"/>
      <c r="Q50" s="21"/>
      <c r="R50" s="21">
        <v>1390</v>
      </c>
      <c r="S50" s="21">
        <v>3542</v>
      </c>
      <c r="T50" s="21"/>
      <c r="U50" s="21"/>
      <c r="V50" s="21">
        <v>1590</v>
      </c>
      <c r="W50" s="21"/>
      <c r="X50" s="21">
        <v>673</v>
      </c>
      <c r="Y50" s="21"/>
      <c r="Z50" s="21">
        <v>1790</v>
      </c>
      <c r="AA50" s="21"/>
      <c r="AB50" s="21">
        <v>1000</v>
      </c>
      <c r="AC50" s="21"/>
      <c r="AD50" s="21">
        <v>1790</v>
      </c>
      <c r="AE50" s="21"/>
      <c r="AF50" s="21">
        <v>1500</v>
      </c>
      <c r="AG50" s="21"/>
      <c r="AH50" s="21">
        <v>1790</v>
      </c>
      <c r="AI50" s="21"/>
      <c r="AJ50" s="21">
        <v>2000</v>
      </c>
      <c r="AK50" s="21"/>
      <c r="AL50" s="21">
        <v>1790</v>
      </c>
      <c r="AM50" s="21"/>
      <c r="AN50" s="21">
        <v>2000</v>
      </c>
      <c r="AO50" s="21"/>
      <c r="AP50" s="21">
        <v>1790</v>
      </c>
      <c r="AQ50" s="21"/>
      <c r="AR50" s="21">
        <v>2000</v>
      </c>
      <c r="AS50" s="21"/>
      <c r="AT50" s="21">
        <v>1690</v>
      </c>
      <c r="AU50" s="21"/>
      <c r="AV50" s="21">
        <v>1500</v>
      </c>
      <c r="AW50" s="21"/>
      <c r="AX50" s="21">
        <v>1590</v>
      </c>
      <c r="AY50" s="21"/>
      <c r="AZ50" s="21">
        <v>1500</v>
      </c>
      <c r="BA50" s="21"/>
      <c r="BB50" s="21">
        <v>1090</v>
      </c>
      <c r="BC50" s="21"/>
      <c r="BD50" s="21"/>
      <c r="BE50" s="21"/>
      <c r="BF50" s="16">
        <f>J50+N50+R50+V50+Z50+AD50+AH50+AL50+AP50+AT50+AX50+BB50</f>
        <v>19800</v>
      </c>
      <c r="BG50" s="16">
        <f>K50+O50+S50+W50+AA50+AE50+AI50+AM50+AQ50+AU50+AY50+BC50</f>
        <v>4130</v>
      </c>
      <c r="BH50" s="16">
        <f>L50+P50+T50+X50+AB50+AF50+AJ50+AN50+AR50+AV50+AZ50+BD50</f>
        <v>12173</v>
      </c>
      <c r="BI50" s="16">
        <f>M50+Q50+U50+Y50+AC50+AG50+AK50+AO50+AS50+AW50+BA50+BE50</f>
        <v>0</v>
      </c>
      <c r="BJ50" s="16">
        <v>15000</v>
      </c>
      <c r="BK50" s="16">
        <v>12000</v>
      </c>
      <c r="BL50" s="16">
        <v>10000</v>
      </c>
      <c r="BM50" s="28">
        <f>BK50-BI50</f>
        <v>12000</v>
      </c>
    </row>
    <row r="51" spans="2:65" x14ac:dyDescent="0.25">
      <c r="B51" s="14">
        <f>SUBTOTAL(3,$C$8:C51)</f>
        <v>44</v>
      </c>
      <c r="C51" s="26" t="s">
        <v>119</v>
      </c>
      <c r="D51" s="15" t="s">
        <v>146</v>
      </c>
      <c r="E51" s="15" t="s">
        <v>146</v>
      </c>
      <c r="F51" s="15" t="s">
        <v>29</v>
      </c>
      <c r="G51" s="15"/>
      <c r="H51" s="15"/>
      <c r="I51" s="15"/>
      <c r="J51" s="21">
        <v>13200</v>
      </c>
      <c r="K51" s="21"/>
      <c r="L51" s="21"/>
      <c r="M51" s="21"/>
      <c r="N51" s="21">
        <v>13200</v>
      </c>
      <c r="O51" s="21"/>
      <c r="P51" s="21"/>
      <c r="Q51" s="21"/>
      <c r="R51" s="21">
        <v>10500</v>
      </c>
      <c r="S51" s="21"/>
      <c r="T51" s="21"/>
      <c r="U51" s="21"/>
      <c r="V51" s="21">
        <v>12000</v>
      </c>
      <c r="W51" s="21"/>
      <c r="X51" s="21"/>
      <c r="Y51" s="21"/>
      <c r="Z51" s="21">
        <v>13500</v>
      </c>
      <c r="AA51" s="21"/>
      <c r="AB51" s="21"/>
      <c r="AC51" s="21"/>
      <c r="AD51" s="21">
        <v>13500</v>
      </c>
      <c r="AE51" s="21"/>
      <c r="AF51" s="21"/>
      <c r="AG51" s="21"/>
      <c r="AH51" s="21">
        <v>13500</v>
      </c>
      <c r="AI51" s="21"/>
      <c r="AJ51" s="21"/>
      <c r="AK51" s="21"/>
      <c r="AL51" s="21">
        <v>13500</v>
      </c>
      <c r="AM51" s="21"/>
      <c r="AN51" s="21"/>
      <c r="AO51" s="21"/>
      <c r="AP51" s="21">
        <v>13500</v>
      </c>
      <c r="AQ51" s="21"/>
      <c r="AR51" s="21"/>
      <c r="AS51" s="21"/>
      <c r="AT51" s="21">
        <v>12750</v>
      </c>
      <c r="AU51" s="21"/>
      <c r="AV51" s="21"/>
      <c r="AW51" s="21"/>
      <c r="AX51" s="21">
        <v>12000</v>
      </c>
      <c r="AY51" s="21"/>
      <c r="AZ51" s="21"/>
      <c r="BA51" s="21"/>
      <c r="BB51" s="21">
        <v>8850</v>
      </c>
      <c r="BC51" s="21"/>
      <c r="BD51" s="21"/>
      <c r="BE51" s="21"/>
      <c r="BF51" s="16">
        <f>J51+N51+R51+V51+Z51+AD51+AH51+AL51+AP51+AT51+AX51+BB51</f>
        <v>150000</v>
      </c>
      <c r="BG51" s="16">
        <f>K51+O51+S51+W51+AA51+AE51+AI51+AM51+AQ51+AU51+AY51+BC51</f>
        <v>0</v>
      </c>
      <c r="BH51" s="16">
        <f>L51+P51+T51+X51+AB51+AF51+AJ51+AN51+AR51+AV51+AZ51+BD51</f>
        <v>0</v>
      </c>
      <c r="BI51" s="16">
        <f>M51+Q51+U51+Y51+AC51+AG51+AK51+AO51+AS51+AW51+BA51+BE51</f>
        <v>0</v>
      </c>
      <c r="BJ51" s="16"/>
      <c r="BK51" s="16"/>
      <c r="BL51" s="16"/>
      <c r="BM51" s="28">
        <f>BK51-BI51</f>
        <v>0</v>
      </c>
    </row>
    <row r="52" spans="2:65" x14ac:dyDescent="0.25">
      <c r="B52" s="14">
        <f>SUBTOTAL(3,$C$8:C52)</f>
        <v>45</v>
      </c>
      <c r="C52" s="26" t="s">
        <v>63</v>
      </c>
      <c r="D52" s="15" t="s">
        <v>71</v>
      </c>
      <c r="E52" s="15" t="s">
        <v>247</v>
      </c>
      <c r="F52" s="15" t="s">
        <v>116</v>
      </c>
      <c r="G52" s="15" t="s">
        <v>152</v>
      </c>
      <c r="H52" s="15" t="s">
        <v>162</v>
      </c>
      <c r="I52" s="15" t="s">
        <v>161</v>
      </c>
      <c r="J52" s="21">
        <v>2640</v>
      </c>
      <c r="K52" s="21">
        <v>1646</v>
      </c>
      <c r="L52" s="21"/>
      <c r="M52" s="21">
        <v>168</v>
      </c>
      <c r="N52" s="21">
        <v>2640</v>
      </c>
      <c r="O52" s="21">
        <v>962</v>
      </c>
      <c r="P52" s="21"/>
      <c r="Q52" s="21">
        <v>0</v>
      </c>
      <c r="R52" s="21">
        <v>2100</v>
      </c>
      <c r="S52" s="21">
        <v>1758</v>
      </c>
      <c r="T52" s="21"/>
      <c r="U52" s="21">
        <v>558</v>
      </c>
      <c r="V52" s="21">
        <v>2400</v>
      </c>
      <c r="W52" s="21"/>
      <c r="X52" s="21">
        <v>3428</v>
      </c>
      <c r="Y52" s="21"/>
      <c r="Z52" s="21">
        <v>2700</v>
      </c>
      <c r="AA52" s="21"/>
      <c r="AB52" s="21">
        <v>1500</v>
      </c>
      <c r="AC52" s="21"/>
      <c r="AD52" s="21">
        <v>2700</v>
      </c>
      <c r="AE52" s="21"/>
      <c r="AF52" s="21">
        <v>1500</v>
      </c>
      <c r="AG52" s="21"/>
      <c r="AH52" s="21">
        <v>2700</v>
      </c>
      <c r="AI52" s="21"/>
      <c r="AJ52" s="21">
        <v>1500</v>
      </c>
      <c r="AK52" s="21"/>
      <c r="AL52" s="21">
        <v>2700</v>
      </c>
      <c r="AM52" s="21"/>
      <c r="AN52" s="21">
        <v>1500</v>
      </c>
      <c r="AO52" s="21"/>
      <c r="AP52" s="21">
        <v>2700</v>
      </c>
      <c r="AQ52" s="21"/>
      <c r="AR52" s="21">
        <v>1500</v>
      </c>
      <c r="AS52" s="21"/>
      <c r="AT52" s="21">
        <v>2550</v>
      </c>
      <c r="AU52" s="21"/>
      <c r="AV52" s="21">
        <v>2000</v>
      </c>
      <c r="AW52" s="21"/>
      <c r="AX52" s="21">
        <v>2400</v>
      </c>
      <c r="AY52" s="21"/>
      <c r="AZ52" s="21">
        <v>2000</v>
      </c>
      <c r="BA52" s="21"/>
      <c r="BB52" s="21">
        <v>1770</v>
      </c>
      <c r="BC52" s="21"/>
      <c r="BD52" s="21"/>
      <c r="BE52" s="21"/>
      <c r="BF52" s="16">
        <f>J52+N52+R52+V52+Z52+AD52+AH52+AL52+AP52+AT52+AX52+BB52</f>
        <v>30000</v>
      </c>
      <c r="BG52" s="16">
        <f>K52+O52+S52+W52+AA52+AE52+AI52+AM52+AQ52+AU52+AY52+BC52</f>
        <v>4366</v>
      </c>
      <c r="BH52" s="16">
        <f>L52+P52+T52+X52+AB52+AF52+AJ52+AN52+AR52+AV52+AZ52+BD52</f>
        <v>14928</v>
      </c>
      <c r="BI52" s="16">
        <f>M52+Q52+U52+Y52+AC52+AG52+AK52+AO52+AS52+AW52+BA52+BE52</f>
        <v>726</v>
      </c>
      <c r="BJ52" s="16">
        <v>20000</v>
      </c>
      <c r="BK52" s="16">
        <v>12000</v>
      </c>
      <c r="BL52" s="16">
        <v>10000</v>
      </c>
      <c r="BM52" s="28">
        <f>BK52-BI52</f>
        <v>11274</v>
      </c>
    </row>
    <row r="53" spans="2:65" x14ac:dyDescent="0.25">
      <c r="B53" s="14">
        <f>SUBTOTAL(3,$C$8:C53)</f>
        <v>46</v>
      </c>
      <c r="C53" s="26" t="s">
        <v>63</v>
      </c>
      <c r="D53" s="15" t="s">
        <v>141</v>
      </c>
      <c r="E53" s="15" t="s">
        <v>294</v>
      </c>
      <c r="F53" s="15" t="s">
        <v>116</v>
      </c>
      <c r="G53" s="15"/>
      <c r="H53" s="15"/>
      <c r="I53" s="15"/>
      <c r="J53" s="21">
        <v>4400</v>
      </c>
      <c r="K53" s="21"/>
      <c r="L53" s="21"/>
      <c r="M53" s="21"/>
      <c r="N53" s="21">
        <v>4400</v>
      </c>
      <c r="O53" s="21"/>
      <c r="P53" s="21"/>
      <c r="Q53" s="21"/>
      <c r="R53" s="21">
        <v>3500</v>
      </c>
      <c r="S53" s="21"/>
      <c r="T53" s="21"/>
      <c r="U53" s="21"/>
      <c r="V53" s="21">
        <v>4000</v>
      </c>
      <c r="W53" s="21"/>
      <c r="X53" s="21"/>
      <c r="Y53" s="21"/>
      <c r="Z53" s="21">
        <v>4500</v>
      </c>
      <c r="AA53" s="21"/>
      <c r="AB53" s="21"/>
      <c r="AC53" s="21"/>
      <c r="AD53" s="21">
        <v>4500</v>
      </c>
      <c r="AE53" s="21"/>
      <c r="AF53" s="21"/>
      <c r="AG53" s="21"/>
      <c r="AH53" s="21">
        <v>4500</v>
      </c>
      <c r="AI53" s="21"/>
      <c r="AJ53" s="21"/>
      <c r="AK53" s="21"/>
      <c r="AL53" s="21">
        <v>4500</v>
      </c>
      <c r="AM53" s="21"/>
      <c r="AN53" s="21"/>
      <c r="AO53" s="21"/>
      <c r="AP53" s="21">
        <v>4500</v>
      </c>
      <c r="AQ53" s="21"/>
      <c r="AR53" s="21"/>
      <c r="AS53" s="21"/>
      <c r="AT53" s="21">
        <v>4250</v>
      </c>
      <c r="AU53" s="21"/>
      <c r="AV53" s="21"/>
      <c r="AW53" s="21"/>
      <c r="AX53" s="21">
        <v>4000</v>
      </c>
      <c r="AY53" s="21"/>
      <c r="AZ53" s="21"/>
      <c r="BA53" s="21"/>
      <c r="BB53" s="21">
        <v>2950</v>
      </c>
      <c r="BC53" s="21"/>
      <c r="BD53" s="21"/>
      <c r="BE53" s="21"/>
      <c r="BF53" s="16">
        <f>J53+N53+R53+V53+Z53+AD53+AH53+AL53+AP53+AT53+AX53+BB53</f>
        <v>50000</v>
      </c>
      <c r="BG53" s="16">
        <f>K53+O53+S53+W53+AA53+AE53+AI53+AM53+AQ53+AU53+AY53+BC53</f>
        <v>0</v>
      </c>
      <c r="BH53" s="16">
        <f>L53+P53+T53+X53+AB53+AF53+AJ53+AN53+AR53+AV53+AZ53+BD53</f>
        <v>0</v>
      </c>
      <c r="BI53" s="16">
        <f>M53+Q53+U53+Y53+AC53+AG53+AK53+AO53+AS53+AW53+BA53+BE53</f>
        <v>0</v>
      </c>
      <c r="BJ53" s="16"/>
      <c r="BK53" s="16"/>
      <c r="BL53" s="16"/>
      <c r="BM53" s="28">
        <f>BK53-BI53</f>
        <v>0</v>
      </c>
    </row>
    <row r="54" spans="2:65" x14ac:dyDescent="0.25">
      <c r="B54" s="14">
        <f>SUBTOTAL(3,$C$8:C54)</f>
        <v>47</v>
      </c>
      <c r="C54" s="26" t="s">
        <v>119</v>
      </c>
      <c r="D54" s="15" t="s">
        <v>31</v>
      </c>
      <c r="E54" s="15" t="s">
        <v>230</v>
      </c>
      <c r="F54" s="15" t="s">
        <v>33</v>
      </c>
      <c r="G54" s="15" t="s">
        <v>166</v>
      </c>
      <c r="H54" s="15" t="s">
        <v>170</v>
      </c>
      <c r="I54" s="15" t="s">
        <v>171</v>
      </c>
      <c r="J54" s="21">
        <v>4760</v>
      </c>
      <c r="K54" s="21">
        <v>3517</v>
      </c>
      <c r="L54" s="21"/>
      <c r="M54" s="21">
        <v>748</v>
      </c>
      <c r="N54" s="21">
        <v>4760</v>
      </c>
      <c r="O54" s="21">
        <v>3906</v>
      </c>
      <c r="P54" s="21"/>
      <c r="Q54" s="21">
        <v>447</v>
      </c>
      <c r="R54" s="21">
        <v>3780</v>
      </c>
      <c r="S54" s="21">
        <v>3757</v>
      </c>
      <c r="T54" s="21"/>
      <c r="U54" s="21">
        <v>881</v>
      </c>
      <c r="V54" s="21">
        <v>4320</v>
      </c>
      <c r="W54" s="21"/>
      <c r="X54" s="21">
        <v>1647</v>
      </c>
      <c r="Y54" s="21"/>
      <c r="Z54" s="21">
        <v>4860</v>
      </c>
      <c r="AA54" s="21"/>
      <c r="AB54" s="21">
        <v>3000</v>
      </c>
      <c r="AC54" s="21"/>
      <c r="AD54" s="21">
        <v>4860</v>
      </c>
      <c r="AE54" s="21"/>
      <c r="AF54" s="21">
        <v>4000</v>
      </c>
      <c r="AG54" s="21"/>
      <c r="AH54" s="21">
        <v>4860</v>
      </c>
      <c r="AI54" s="21"/>
      <c r="AJ54" s="21">
        <v>4000</v>
      </c>
      <c r="AK54" s="21"/>
      <c r="AL54" s="21">
        <v>4860</v>
      </c>
      <c r="AM54" s="21"/>
      <c r="AN54" s="21">
        <v>4500</v>
      </c>
      <c r="AO54" s="21"/>
      <c r="AP54" s="21">
        <v>4860</v>
      </c>
      <c r="AQ54" s="21"/>
      <c r="AR54" s="21">
        <v>4500</v>
      </c>
      <c r="AS54" s="21"/>
      <c r="AT54" s="21">
        <v>4590</v>
      </c>
      <c r="AU54" s="21"/>
      <c r="AV54" s="21">
        <v>4500</v>
      </c>
      <c r="AW54" s="21"/>
      <c r="AX54" s="21">
        <v>4320</v>
      </c>
      <c r="AY54" s="21"/>
      <c r="AZ54" s="21">
        <v>4500</v>
      </c>
      <c r="BA54" s="21"/>
      <c r="BB54" s="21">
        <v>3170</v>
      </c>
      <c r="BC54" s="21"/>
      <c r="BD54" s="21"/>
      <c r="BE54" s="21"/>
      <c r="BF54" s="16">
        <f>J54+N54+R54+V54+Z54+AD54+AH54+AL54+AP54+AT54+AX54+BB54</f>
        <v>54000</v>
      </c>
      <c r="BG54" s="16">
        <f>K54+O54+S54+W54+AA54+AE54+AI54+AM54+AQ54+AU54+AY54+BC54</f>
        <v>11180</v>
      </c>
      <c r="BH54" s="16">
        <f>L54+P54+T54+X54+AB54+AF54+AJ54+AN54+AR54+AV54+AZ54+BD54</f>
        <v>30647</v>
      </c>
      <c r="BI54" s="16">
        <f>M54+Q54+U54+Y54+AC54+AG54+AK54+AO54+AS54+AW54+BA54+BE54</f>
        <v>2076</v>
      </c>
      <c r="BJ54" s="16">
        <v>40000</v>
      </c>
      <c r="BK54" s="16">
        <v>30000</v>
      </c>
      <c r="BL54" s="16">
        <v>20000</v>
      </c>
      <c r="BM54" s="28">
        <f>BK54-BI54</f>
        <v>27924</v>
      </c>
    </row>
    <row r="55" spans="2:65" x14ac:dyDescent="0.25">
      <c r="B55" s="14">
        <f>SUBTOTAL(3,$C$8:C55)</f>
        <v>48</v>
      </c>
      <c r="C55" s="26" t="s">
        <v>64</v>
      </c>
      <c r="D55" s="15" t="s">
        <v>107</v>
      </c>
      <c r="E55" s="15" t="s">
        <v>295</v>
      </c>
      <c r="F55" s="15" t="s">
        <v>117</v>
      </c>
      <c r="G55" s="15"/>
      <c r="H55" s="15"/>
      <c r="I55" s="15"/>
      <c r="J55" s="21">
        <v>4760</v>
      </c>
      <c r="K55" s="21"/>
      <c r="L55" s="21"/>
      <c r="M55" s="21"/>
      <c r="N55" s="21">
        <v>4760</v>
      </c>
      <c r="O55" s="21"/>
      <c r="P55" s="21"/>
      <c r="Q55" s="21"/>
      <c r="R55" s="21">
        <v>3780</v>
      </c>
      <c r="S55" s="21"/>
      <c r="T55" s="21"/>
      <c r="U55" s="21"/>
      <c r="V55" s="21">
        <v>4320</v>
      </c>
      <c r="W55" s="21"/>
      <c r="X55" s="21"/>
      <c r="Y55" s="21"/>
      <c r="Z55" s="21">
        <v>4860</v>
      </c>
      <c r="AA55" s="21"/>
      <c r="AB55" s="21"/>
      <c r="AC55" s="21"/>
      <c r="AD55" s="21">
        <v>4860</v>
      </c>
      <c r="AE55" s="21"/>
      <c r="AF55" s="21"/>
      <c r="AG55" s="21"/>
      <c r="AH55" s="21">
        <v>4860</v>
      </c>
      <c r="AI55" s="21"/>
      <c r="AJ55" s="21"/>
      <c r="AK55" s="21"/>
      <c r="AL55" s="21">
        <v>4860</v>
      </c>
      <c r="AM55" s="21"/>
      <c r="AN55" s="21"/>
      <c r="AO55" s="21"/>
      <c r="AP55" s="21">
        <v>4860</v>
      </c>
      <c r="AQ55" s="21"/>
      <c r="AR55" s="21"/>
      <c r="AS55" s="21"/>
      <c r="AT55" s="21">
        <v>4590</v>
      </c>
      <c r="AU55" s="21"/>
      <c r="AV55" s="21"/>
      <c r="AW55" s="21"/>
      <c r="AX55" s="21">
        <v>4320</v>
      </c>
      <c r="AY55" s="21"/>
      <c r="AZ55" s="21"/>
      <c r="BA55" s="21"/>
      <c r="BB55" s="21">
        <v>3170</v>
      </c>
      <c r="BC55" s="21"/>
      <c r="BD55" s="21"/>
      <c r="BE55" s="21"/>
      <c r="BF55" s="16">
        <f>J55+N55+R55+V55+Z55+AD55+AH55+AL55+AP55+AT55+AX55+BB55</f>
        <v>54000</v>
      </c>
      <c r="BG55" s="16">
        <f>K55+O55+S55+W55+AA55+AE55+AI55+AM55+AQ55+AU55+AY55+BC55</f>
        <v>0</v>
      </c>
      <c r="BH55" s="16">
        <f>L55+P55+T55+X55+AB55+AF55+AJ55+AN55+AR55+AV55+AZ55+BD55</f>
        <v>0</v>
      </c>
      <c r="BI55" s="16">
        <f>M55+Q55+U55+Y55+AC55+AG55+AK55+AO55+AS55+AW55+BA55+BE55</f>
        <v>0</v>
      </c>
      <c r="BJ55" s="16"/>
      <c r="BK55" s="16"/>
      <c r="BL55" s="16"/>
      <c r="BM55" s="28">
        <f>BK55-BI55</f>
        <v>0</v>
      </c>
    </row>
    <row r="56" spans="2:65" x14ac:dyDescent="0.25">
      <c r="B56" s="14">
        <f>SUBTOTAL(3,$C$8:C56)</f>
        <v>49</v>
      </c>
      <c r="C56" s="26" t="s">
        <v>64</v>
      </c>
      <c r="D56" s="15" t="s">
        <v>107</v>
      </c>
      <c r="E56" s="15" t="s">
        <v>259</v>
      </c>
      <c r="F56" s="15" t="s">
        <v>117</v>
      </c>
      <c r="G56" s="15" t="s">
        <v>166</v>
      </c>
      <c r="H56" s="15" t="s">
        <v>139</v>
      </c>
      <c r="I56" s="15"/>
      <c r="J56" s="21">
        <v>7920</v>
      </c>
      <c r="K56" s="21">
        <v>2360</v>
      </c>
      <c r="L56" s="21"/>
      <c r="M56" s="21"/>
      <c r="N56" s="21">
        <v>7920</v>
      </c>
      <c r="O56" s="21"/>
      <c r="P56" s="21"/>
      <c r="Q56" s="21"/>
      <c r="R56" s="21">
        <v>6300</v>
      </c>
      <c r="S56" s="21">
        <v>8072</v>
      </c>
      <c r="T56" s="21"/>
      <c r="U56" s="21"/>
      <c r="V56" s="21">
        <v>7200</v>
      </c>
      <c r="W56" s="21"/>
      <c r="X56" s="21"/>
      <c r="Y56" s="21"/>
      <c r="Z56" s="21">
        <v>8100</v>
      </c>
      <c r="AA56" s="21"/>
      <c r="AB56" s="21">
        <v>1000</v>
      </c>
      <c r="AC56" s="21"/>
      <c r="AD56" s="21">
        <v>8100</v>
      </c>
      <c r="AE56" s="21"/>
      <c r="AF56" s="21">
        <v>1500</v>
      </c>
      <c r="AG56" s="21"/>
      <c r="AH56" s="21">
        <v>8100</v>
      </c>
      <c r="AI56" s="21"/>
      <c r="AJ56" s="21">
        <v>1500</v>
      </c>
      <c r="AK56" s="21"/>
      <c r="AL56" s="21">
        <v>8100</v>
      </c>
      <c r="AM56" s="21"/>
      <c r="AN56" s="21">
        <v>1500</v>
      </c>
      <c r="AO56" s="21"/>
      <c r="AP56" s="21">
        <v>8100</v>
      </c>
      <c r="AQ56" s="21"/>
      <c r="AR56" s="21">
        <v>1500</v>
      </c>
      <c r="AS56" s="21"/>
      <c r="AT56" s="21">
        <v>7650</v>
      </c>
      <c r="AU56" s="21"/>
      <c r="AV56" s="21">
        <v>1500</v>
      </c>
      <c r="AW56" s="21"/>
      <c r="AX56" s="21">
        <v>7200</v>
      </c>
      <c r="AY56" s="21"/>
      <c r="AZ56" s="21">
        <v>1500</v>
      </c>
      <c r="BA56" s="21"/>
      <c r="BB56" s="21">
        <v>5310</v>
      </c>
      <c r="BC56" s="21"/>
      <c r="BD56" s="21"/>
      <c r="BE56" s="21"/>
      <c r="BF56" s="16">
        <f>J56+N56+R56+V56+Z56+AD56+AH56+AL56+AP56+AT56+AX56+BB56</f>
        <v>90000</v>
      </c>
      <c r="BG56" s="16">
        <f>K56+O56+S56+W56+AA56+AE56+AI56+AM56+AQ56+AU56+AY56+BC56</f>
        <v>10432</v>
      </c>
      <c r="BH56" s="16">
        <f>L56+P56+T56+X56+AB56+AF56+AJ56+AN56+AR56+AV56+AZ56+BD56</f>
        <v>10000</v>
      </c>
      <c r="BI56" s="16">
        <f>M56+Q56+U56+Y56+AC56+AG56+AK56+AO56+AS56+AW56+BA56+BE56</f>
        <v>0</v>
      </c>
      <c r="BJ56" s="16">
        <v>10000</v>
      </c>
      <c r="BK56" s="16">
        <v>8000</v>
      </c>
      <c r="BL56" s="16">
        <v>5000</v>
      </c>
      <c r="BM56" s="28">
        <f>BK56-BI56</f>
        <v>8000</v>
      </c>
    </row>
    <row r="57" spans="2:65" x14ac:dyDescent="0.25">
      <c r="B57" s="14">
        <f>SUBTOTAL(3,$C$8:C57)</f>
        <v>50</v>
      </c>
      <c r="C57" s="26" t="s">
        <v>119</v>
      </c>
      <c r="D57" s="15" t="s">
        <v>11</v>
      </c>
      <c r="E57" s="15" t="s">
        <v>219</v>
      </c>
      <c r="F57" s="15" t="s">
        <v>29</v>
      </c>
      <c r="G57" s="15" t="s">
        <v>166</v>
      </c>
      <c r="H57" s="15" t="s">
        <v>195</v>
      </c>
      <c r="I57" s="15" t="s">
        <v>203</v>
      </c>
      <c r="J57" s="21">
        <v>8450</v>
      </c>
      <c r="K57" s="21">
        <v>2833</v>
      </c>
      <c r="L57" s="21"/>
      <c r="M57" s="21"/>
      <c r="N57" s="21">
        <v>8450</v>
      </c>
      <c r="O57" s="21"/>
      <c r="P57" s="21"/>
      <c r="Q57" s="21"/>
      <c r="R57" s="21">
        <v>6720</v>
      </c>
      <c r="S57" s="21">
        <v>3975</v>
      </c>
      <c r="T57" s="21"/>
      <c r="U57" s="21"/>
      <c r="V57" s="21">
        <v>7680</v>
      </c>
      <c r="W57" s="21"/>
      <c r="X57" s="21"/>
      <c r="Y57" s="21"/>
      <c r="Z57" s="21">
        <v>8640</v>
      </c>
      <c r="AA57" s="21"/>
      <c r="AB57" s="21">
        <v>1000</v>
      </c>
      <c r="AC57" s="21"/>
      <c r="AD57" s="21">
        <v>8640</v>
      </c>
      <c r="AE57" s="21"/>
      <c r="AF57" s="21">
        <v>1500</v>
      </c>
      <c r="AG57" s="21"/>
      <c r="AH57" s="21">
        <v>8640</v>
      </c>
      <c r="AI57" s="21"/>
      <c r="AJ57" s="21">
        <v>2500</v>
      </c>
      <c r="AK57" s="21"/>
      <c r="AL57" s="21">
        <v>8640</v>
      </c>
      <c r="AM57" s="21"/>
      <c r="AN57" s="21">
        <v>2500</v>
      </c>
      <c r="AO57" s="21"/>
      <c r="AP57" s="21">
        <v>8640</v>
      </c>
      <c r="AQ57" s="21"/>
      <c r="AR57" s="21">
        <v>2500</v>
      </c>
      <c r="AS57" s="21"/>
      <c r="AT57" s="21">
        <v>8160</v>
      </c>
      <c r="AU57" s="21"/>
      <c r="AV57" s="21">
        <v>2500</v>
      </c>
      <c r="AW57" s="21"/>
      <c r="AX57" s="21">
        <v>7680</v>
      </c>
      <c r="AY57" s="21"/>
      <c r="AZ57" s="21">
        <v>2500</v>
      </c>
      <c r="BA57" s="21"/>
      <c r="BB57" s="21">
        <v>5660</v>
      </c>
      <c r="BC57" s="21"/>
      <c r="BD57" s="21"/>
      <c r="BE57" s="21"/>
      <c r="BF57" s="16">
        <f>J57+N57+R57+V57+Z57+AD57+AH57+AL57+AP57+AT57+AX57+BB57</f>
        <v>96000</v>
      </c>
      <c r="BG57" s="16">
        <f>K57+O57+S57+W57+AA57+AE57+AI57+AM57+AQ57+AU57+AY57+BC57</f>
        <v>6808</v>
      </c>
      <c r="BH57" s="16">
        <f>L57+P57+T57+X57+AB57+AF57+AJ57+AN57+AR57+AV57+AZ57+BD57</f>
        <v>15000</v>
      </c>
      <c r="BI57" s="16">
        <f>M57+Q57+U57+Y57+AC57+AG57+AK57+AO57+AS57+AW57+BA57+BE57</f>
        <v>0</v>
      </c>
      <c r="BJ57" s="16">
        <v>25000</v>
      </c>
      <c r="BK57" s="16">
        <v>15000</v>
      </c>
      <c r="BL57" s="16">
        <v>10000</v>
      </c>
      <c r="BM57" s="28">
        <f>BK57-BI57</f>
        <v>15000</v>
      </c>
    </row>
    <row r="58" spans="2:65" x14ac:dyDescent="0.25">
      <c r="B58" s="14">
        <f>SUBTOTAL(3,$C$8:C58)</f>
        <v>51</v>
      </c>
      <c r="C58" s="26" t="s">
        <v>63</v>
      </c>
      <c r="D58" s="15" t="s">
        <v>71</v>
      </c>
      <c r="E58" s="15" t="s">
        <v>296</v>
      </c>
      <c r="F58" s="15" t="s">
        <v>116</v>
      </c>
      <c r="G58" s="15" t="s">
        <v>152</v>
      </c>
      <c r="H58" s="15" t="s">
        <v>160</v>
      </c>
      <c r="I58" s="15" t="s">
        <v>210</v>
      </c>
      <c r="J58" s="21">
        <v>4230</v>
      </c>
      <c r="K58" s="21"/>
      <c r="L58" s="21"/>
      <c r="M58" s="21"/>
      <c r="N58" s="21">
        <v>4230</v>
      </c>
      <c r="O58" s="21"/>
      <c r="P58" s="21"/>
      <c r="Q58" s="21"/>
      <c r="R58" s="21">
        <v>3360</v>
      </c>
      <c r="S58" s="21"/>
      <c r="T58" s="21"/>
      <c r="U58" s="21"/>
      <c r="V58" s="21">
        <v>3840</v>
      </c>
      <c r="W58" s="21"/>
      <c r="X58" s="21"/>
      <c r="Y58" s="21"/>
      <c r="Z58" s="21">
        <v>4320</v>
      </c>
      <c r="AA58" s="21"/>
      <c r="AB58" s="21"/>
      <c r="AC58" s="21"/>
      <c r="AD58" s="21">
        <v>4320</v>
      </c>
      <c r="AE58" s="21"/>
      <c r="AF58" s="21">
        <v>500</v>
      </c>
      <c r="AG58" s="21"/>
      <c r="AH58" s="21">
        <v>4320</v>
      </c>
      <c r="AI58" s="21"/>
      <c r="AJ58" s="21">
        <v>1000</v>
      </c>
      <c r="AK58" s="21"/>
      <c r="AL58" s="21">
        <v>4320</v>
      </c>
      <c r="AM58" s="21"/>
      <c r="AN58" s="21">
        <v>1000</v>
      </c>
      <c r="AO58" s="21"/>
      <c r="AP58" s="21">
        <v>4320</v>
      </c>
      <c r="AQ58" s="21"/>
      <c r="AR58" s="21">
        <v>1000</v>
      </c>
      <c r="AS58" s="21"/>
      <c r="AT58" s="21">
        <v>4080</v>
      </c>
      <c r="AU58" s="21"/>
      <c r="AV58" s="21">
        <v>1000</v>
      </c>
      <c r="AW58" s="21"/>
      <c r="AX58" s="21">
        <v>3840</v>
      </c>
      <c r="AY58" s="21"/>
      <c r="AZ58" s="21">
        <v>1000</v>
      </c>
      <c r="BA58" s="21"/>
      <c r="BB58" s="21">
        <v>2820</v>
      </c>
      <c r="BC58" s="21"/>
      <c r="BD58" s="21"/>
      <c r="BE58" s="21"/>
      <c r="BF58" s="16">
        <f>J58+N58+R58+V58+Z58+AD58+AH58+AL58+AP58+AT58+AX58+BB58</f>
        <v>48000</v>
      </c>
      <c r="BG58" s="16">
        <f>K58+O58+S58+W58+AA58+AE58+AI58+AM58+AQ58+AU58+AY58+BC58</f>
        <v>0</v>
      </c>
      <c r="BH58" s="16">
        <f>L58+P58+T58+X58+AB58+AF58+AJ58+AN58+AR58+AV58+AZ58+BD58</f>
        <v>5500</v>
      </c>
      <c r="BI58" s="16">
        <f>M58+Q58+U58+Y58+AC58+AG58+AK58+AO58+AS58+AW58+BA58+BE58</f>
        <v>0</v>
      </c>
      <c r="BJ58" s="16">
        <v>7500</v>
      </c>
      <c r="BK58" s="16">
        <v>5000</v>
      </c>
      <c r="BL58" s="16">
        <v>3500</v>
      </c>
      <c r="BM58" s="28">
        <f>BK58-BI58</f>
        <v>5000</v>
      </c>
    </row>
    <row r="59" spans="2:65" x14ac:dyDescent="0.25">
      <c r="B59" s="14">
        <f>SUBTOTAL(3,$C$8:C59)</f>
        <v>52</v>
      </c>
      <c r="C59" s="26" t="s">
        <v>64</v>
      </c>
      <c r="D59" s="15" t="s">
        <v>107</v>
      </c>
      <c r="E59" s="15" t="s">
        <v>297</v>
      </c>
      <c r="F59" s="15" t="s">
        <v>117</v>
      </c>
      <c r="G59" s="15"/>
      <c r="H59" s="15"/>
      <c r="I59" s="15"/>
      <c r="J59" s="21">
        <v>3790</v>
      </c>
      <c r="K59" s="21"/>
      <c r="L59" s="21"/>
      <c r="M59" s="21"/>
      <c r="N59" s="21">
        <v>3790</v>
      </c>
      <c r="O59" s="21"/>
      <c r="P59" s="21"/>
      <c r="Q59" s="21"/>
      <c r="R59" s="21">
        <v>3010</v>
      </c>
      <c r="S59" s="21"/>
      <c r="T59" s="21"/>
      <c r="U59" s="21"/>
      <c r="V59" s="21">
        <v>3440</v>
      </c>
      <c r="W59" s="21"/>
      <c r="X59" s="21"/>
      <c r="Y59" s="21"/>
      <c r="Z59" s="21">
        <v>3870</v>
      </c>
      <c r="AA59" s="21"/>
      <c r="AB59" s="21"/>
      <c r="AC59" s="21"/>
      <c r="AD59" s="21">
        <v>3870</v>
      </c>
      <c r="AE59" s="21"/>
      <c r="AF59" s="21"/>
      <c r="AG59" s="21"/>
      <c r="AH59" s="21">
        <v>3870</v>
      </c>
      <c r="AI59" s="21"/>
      <c r="AJ59" s="21"/>
      <c r="AK59" s="21"/>
      <c r="AL59" s="21">
        <v>3870</v>
      </c>
      <c r="AM59" s="21"/>
      <c r="AN59" s="21"/>
      <c r="AO59" s="21"/>
      <c r="AP59" s="21">
        <v>3870</v>
      </c>
      <c r="AQ59" s="21"/>
      <c r="AR59" s="21"/>
      <c r="AS59" s="21"/>
      <c r="AT59" s="21">
        <v>3660</v>
      </c>
      <c r="AU59" s="21"/>
      <c r="AV59" s="21"/>
      <c r="AW59" s="21"/>
      <c r="AX59" s="21">
        <v>3440</v>
      </c>
      <c r="AY59" s="21"/>
      <c r="AZ59" s="21"/>
      <c r="BA59" s="21"/>
      <c r="BB59" s="21">
        <v>2520</v>
      </c>
      <c r="BC59" s="21"/>
      <c r="BD59" s="21"/>
      <c r="BE59" s="21"/>
      <c r="BF59" s="16">
        <f>J59+N59+R59+V59+Z59+AD59+AH59+AL59+AP59+AT59+AX59+BB59</f>
        <v>43000</v>
      </c>
      <c r="BG59" s="16">
        <f>K59+O59+S59+W59+AA59+AE59+AI59+AM59+AQ59+AU59+AY59+BC59</f>
        <v>0</v>
      </c>
      <c r="BH59" s="16">
        <f>L59+P59+T59+X59+AB59+AF59+AJ59+AN59+AR59+AV59+AZ59+BD59</f>
        <v>0</v>
      </c>
      <c r="BI59" s="16">
        <f>M59+Q59+U59+Y59+AC59+AG59+AK59+AO59+AS59+AW59+BA59+BE59</f>
        <v>0</v>
      </c>
      <c r="BJ59" s="16"/>
      <c r="BK59" s="16"/>
      <c r="BL59" s="16"/>
      <c r="BM59" s="28">
        <f>BK59-BI59</f>
        <v>0</v>
      </c>
    </row>
    <row r="60" spans="2:65" x14ac:dyDescent="0.25">
      <c r="B60" s="14">
        <f>SUBTOTAL(3,$C$8:C60)</f>
        <v>53</v>
      </c>
      <c r="C60" s="26" t="s">
        <v>64</v>
      </c>
      <c r="D60" s="15" t="s">
        <v>107</v>
      </c>
      <c r="E60" s="15" t="s">
        <v>298</v>
      </c>
      <c r="F60" s="15" t="s">
        <v>117</v>
      </c>
      <c r="G60" s="15"/>
      <c r="H60" s="15"/>
      <c r="I60" s="15"/>
      <c r="J60" s="21">
        <v>3170</v>
      </c>
      <c r="K60" s="21"/>
      <c r="L60" s="21"/>
      <c r="M60" s="21"/>
      <c r="N60" s="21">
        <v>3170</v>
      </c>
      <c r="O60" s="21"/>
      <c r="P60" s="21"/>
      <c r="Q60" s="21"/>
      <c r="R60" s="21">
        <v>2520</v>
      </c>
      <c r="S60" s="21"/>
      <c r="T60" s="21"/>
      <c r="U60" s="21"/>
      <c r="V60" s="21">
        <v>2880</v>
      </c>
      <c r="W60" s="21"/>
      <c r="X60" s="21"/>
      <c r="Y60" s="21"/>
      <c r="Z60" s="21">
        <v>3240</v>
      </c>
      <c r="AA60" s="21"/>
      <c r="AB60" s="21"/>
      <c r="AC60" s="21"/>
      <c r="AD60" s="21">
        <v>3240</v>
      </c>
      <c r="AE60" s="21"/>
      <c r="AF60" s="21"/>
      <c r="AG60" s="21"/>
      <c r="AH60" s="21">
        <v>3240</v>
      </c>
      <c r="AI60" s="21"/>
      <c r="AJ60" s="21"/>
      <c r="AK60" s="21"/>
      <c r="AL60" s="21">
        <v>3240</v>
      </c>
      <c r="AM60" s="21"/>
      <c r="AN60" s="21"/>
      <c r="AO60" s="21"/>
      <c r="AP60" s="21">
        <v>3240</v>
      </c>
      <c r="AQ60" s="21"/>
      <c r="AR60" s="21"/>
      <c r="AS60" s="21"/>
      <c r="AT60" s="21">
        <v>3060</v>
      </c>
      <c r="AU60" s="21"/>
      <c r="AV60" s="21"/>
      <c r="AW60" s="21"/>
      <c r="AX60" s="21">
        <v>2880</v>
      </c>
      <c r="AY60" s="21"/>
      <c r="AZ60" s="21"/>
      <c r="BA60" s="21"/>
      <c r="BB60" s="21">
        <v>2120</v>
      </c>
      <c r="BC60" s="21"/>
      <c r="BD60" s="21"/>
      <c r="BE60" s="21"/>
      <c r="BF60" s="16">
        <f>J60+N60+R60+V60+Z60+AD60+AH60+AL60+AP60+AT60+AX60+BB60</f>
        <v>36000</v>
      </c>
      <c r="BG60" s="16">
        <f>K60+O60+S60+W60+AA60+AE60+AI60+AM60+AQ60+AU60+AY60+BC60</f>
        <v>0</v>
      </c>
      <c r="BH60" s="16">
        <f>L60+P60+T60+X60+AB60+AF60+AJ60+AN60+AR60+AV60+AZ60+BD60</f>
        <v>0</v>
      </c>
      <c r="BI60" s="16">
        <f>M60+Q60+U60+Y60+AC60+AG60+AK60+AO60+AS60+AW60+BA60+BE60</f>
        <v>0</v>
      </c>
      <c r="BJ60" s="16"/>
      <c r="BK60" s="16"/>
      <c r="BL60" s="16"/>
      <c r="BM60" s="28">
        <f>BK60-BI60</f>
        <v>0</v>
      </c>
    </row>
    <row r="61" spans="2:65" x14ac:dyDescent="0.25">
      <c r="B61" s="14">
        <f>SUBTOTAL(3,$C$8:C61)</f>
        <v>54</v>
      </c>
      <c r="C61" s="26" t="s">
        <v>63</v>
      </c>
      <c r="D61" s="15" t="s">
        <v>71</v>
      </c>
      <c r="E61" s="15" t="s">
        <v>299</v>
      </c>
      <c r="F61" s="15" t="s">
        <v>116</v>
      </c>
      <c r="G61" s="15"/>
      <c r="H61" s="15"/>
      <c r="I61" s="15"/>
      <c r="J61" s="21">
        <v>5060</v>
      </c>
      <c r="K61" s="21"/>
      <c r="L61" s="21"/>
      <c r="M61" s="21"/>
      <c r="N61" s="21">
        <v>5060</v>
      </c>
      <c r="O61" s="21"/>
      <c r="P61" s="21"/>
      <c r="Q61" s="21"/>
      <c r="R61" s="21">
        <v>4030</v>
      </c>
      <c r="S61" s="21"/>
      <c r="T61" s="21"/>
      <c r="U61" s="21"/>
      <c r="V61" s="21">
        <v>4600</v>
      </c>
      <c r="W61" s="21"/>
      <c r="X61" s="21"/>
      <c r="Y61" s="21"/>
      <c r="Z61" s="21">
        <v>5180</v>
      </c>
      <c r="AA61" s="21"/>
      <c r="AB61" s="21"/>
      <c r="AC61" s="21"/>
      <c r="AD61" s="21">
        <v>5180</v>
      </c>
      <c r="AE61" s="21"/>
      <c r="AF61" s="21"/>
      <c r="AG61" s="21"/>
      <c r="AH61" s="21">
        <v>5180</v>
      </c>
      <c r="AI61" s="21"/>
      <c r="AJ61" s="21"/>
      <c r="AK61" s="21"/>
      <c r="AL61" s="21">
        <v>5180</v>
      </c>
      <c r="AM61" s="21"/>
      <c r="AN61" s="21"/>
      <c r="AO61" s="21"/>
      <c r="AP61" s="21">
        <v>5180</v>
      </c>
      <c r="AQ61" s="21"/>
      <c r="AR61" s="21"/>
      <c r="AS61" s="21"/>
      <c r="AT61" s="21">
        <v>4890</v>
      </c>
      <c r="AU61" s="21"/>
      <c r="AV61" s="21"/>
      <c r="AW61" s="21"/>
      <c r="AX61" s="21">
        <v>4600</v>
      </c>
      <c r="AY61" s="21"/>
      <c r="AZ61" s="21"/>
      <c r="BA61" s="21"/>
      <c r="BB61" s="21">
        <v>3360</v>
      </c>
      <c r="BC61" s="21"/>
      <c r="BD61" s="21"/>
      <c r="BE61" s="21"/>
      <c r="BF61" s="16">
        <f>J61+N61+R61+V61+Z61+AD61+AH61+AL61+AP61+AT61+AX61+BB61</f>
        <v>57500</v>
      </c>
      <c r="BG61" s="16">
        <f>K61+O61+S61+W61+AA61+AE61+AI61+AM61+AQ61+AU61+AY61+BC61</f>
        <v>0</v>
      </c>
      <c r="BH61" s="16">
        <f>L61+P61+T61+X61+AB61+AF61+AJ61+AN61+AR61+AV61+AZ61+BD61</f>
        <v>0</v>
      </c>
      <c r="BI61" s="16">
        <f>M61+Q61+U61+Y61+AC61+AG61+AK61+AO61+AS61+AW61+BA61+BE61</f>
        <v>0</v>
      </c>
      <c r="BJ61" s="16"/>
      <c r="BK61" s="16"/>
      <c r="BL61" s="16"/>
      <c r="BM61" s="28">
        <f>BK61-BI61</f>
        <v>0</v>
      </c>
    </row>
    <row r="62" spans="2:65" x14ac:dyDescent="0.25">
      <c r="B62" s="14">
        <f>SUBTOTAL(3,$C$8:C62)</f>
        <v>55</v>
      </c>
      <c r="C62" s="26" t="s">
        <v>63</v>
      </c>
      <c r="D62" s="15" t="s">
        <v>140</v>
      </c>
      <c r="E62" s="15" t="s">
        <v>300</v>
      </c>
      <c r="F62" s="15" t="s">
        <v>116</v>
      </c>
      <c r="G62" s="15"/>
      <c r="H62" s="15"/>
      <c r="I62" s="15"/>
      <c r="J62" s="21">
        <v>8980</v>
      </c>
      <c r="K62" s="21"/>
      <c r="L62" s="21"/>
      <c r="M62" s="21"/>
      <c r="N62" s="21">
        <v>8980</v>
      </c>
      <c r="O62" s="21"/>
      <c r="P62" s="21"/>
      <c r="Q62" s="21"/>
      <c r="R62" s="21">
        <v>7140</v>
      </c>
      <c r="S62" s="21"/>
      <c r="T62" s="21"/>
      <c r="U62" s="21"/>
      <c r="V62" s="21">
        <v>8160</v>
      </c>
      <c r="W62" s="21"/>
      <c r="X62" s="21"/>
      <c r="Y62" s="21"/>
      <c r="Z62" s="21">
        <v>9180</v>
      </c>
      <c r="AA62" s="21"/>
      <c r="AB62" s="21"/>
      <c r="AC62" s="21"/>
      <c r="AD62" s="21">
        <v>9180</v>
      </c>
      <c r="AE62" s="21"/>
      <c r="AF62" s="21"/>
      <c r="AG62" s="21"/>
      <c r="AH62" s="21">
        <v>9180</v>
      </c>
      <c r="AI62" s="21"/>
      <c r="AJ62" s="21"/>
      <c r="AK62" s="21"/>
      <c r="AL62" s="21">
        <v>9180</v>
      </c>
      <c r="AM62" s="21"/>
      <c r="AN62" s="21"/>
      <c r="AO62" s="21"/>
      <c r="AP62" s="21">
        <v>9180</v>
      </c>
      <c r="AQ62" s="21"/>
      <c r="AR62" s="21"/>
      <c r="AS62" s="21"/>
      <c r="AT62" s="21">
        <v>8670</v>
      </c>
      <c r="AU62" s="21"/>
      <c r="AV62" s="21"/>
      <c r="AW62" s="21"/>
      <c r="AX62" s="21">
        <v>8160</v>
      </c>
      <c r="AY62" s="21"/>
      <c r="AZ62" s="21"/>
      <c r="BA62" s="21"/>
      <c r="BB62" s="21">
        <v>6010</v>
      </c>
      <c r="BC62" s="21"/>
      <c r="BD62" s="21"/>
      <c r="BE62" s="21"/>
      <c r="BF62" s="16">
        <f>J62+N62+R62+V62+Z62+AD62+AH62+AL62+AP62+AT62+AX62+BB62</f>
        <v>102000</v>
      </c>
      <c r="BG62" s="16">
        <f>K62+O62+S62+W62+AA62+AE62+AI62+AM62+AQ62+AU62+AY62+BC62</f>
        <v>0</v>
      </c>
      <c r="BH62" s="16">
        <f>L62+P62+T62+X62+AB62+AF62+AJ62+AN62+AR62+AV62+AZ62+BD62</f>
        <v>0</v>
      </c>
      <c r="BI62" s="16">
        <f>M62+Q62+U62+Y62+AC62+AG62+AK62+AO62+AS62+AW62+BA62+BE62</f>
        <v>0</v>
      </c>
      <c r="BJ62" s="16"/>
      <c r="BK62" s="16"/>
      <c r="BL62" s="16"/>
      <c r="BM62" s="28">
        <f>BK62-BI62</f>
        <v>0</v>
      </c>
    </row>
    <row r="63" spans="2:65" x14ac:dyDescent="0.25">
      <c r="B63" s="14">
        <f>SUBTOTAL(3,$C$8:C63)</f>
        <v>56</v>
      </c>
      <c r="C63" s="26" t="s">
        <v>64</v>
      </c>
      <c r="D63" s="15" t="s">
        <v>103</v>
      </c>
      <c r="E63" s="15" t="s">
        <v>301</v>
      </c>
      <c r="F63" s="15" t="s">
        <v>117</v>
      </c>
      <c r="G63" s="15"/>
      <c r="H63" s="15"/>
      <c r="I63" s="15"/>
      <c r="J63" s="21">
        <v>12150</v>
      </c>
      <c r="K63" s="21"/>
      <c r="L63" s="21"/>
      <c r="M63" s="21"/>
      <c r="N63" s="21">
        <v>12150</v>
      </c>
      <c r="O63" s="21"/>
      <c r="P63" s="21"/>
      <c r="Q63" s="21"/>
      <c r="R63" s="21">
        <v>9660</v>
      </c>
      <c r="S63" s="21"/>
      <c r="T63" s="21"/>
      <c r="U63" s="21"/>
      <c r="V63" s="21">
        <v>11040</v>
      </c>
      <c r="W63" s="21"/>
      <c r="X63" s="21"/>
      <c r="Y63" s="21"/>
      <c r="Z63" s="21">
        <v>12420</v>
      </c>
      <c r="AA63" s="21"/>
      <c r="AB63" s="21"/>
      <c r="AC63" s="21"/>
      <c r="AD63" s="21">
        <v>12420</v>
      </c>
      <c r="AE63" s="21"/>
      <c r="AF63" s="21"/>
      <c r="AG63" s="21"/>
      <c r="AH63" s="21">
        <v>12420</v>
      </c>
      <c r="AI63" s="21"/>
      <c r="AJ63" s="21"/>
      <c r="AK63" s="21"/>
      <c r="AL63" s="21">
        <v>12420</v>
      </c>
      <c r="AM63" s="21"/>
      <c r="AN63" s="21"/>
      <c r="AO63" s="21"/>
      <c r="AP63" s="21">
        <v>12420</v>
      </c>
      <c r="AQ63" s="21"/>
      <c r="AR63" s="21"/>
      <c r="AS63" s="21"/>
      <c r="AT63" s="21">
        <v>11730</v>
      </c>
      <c r="AU63" s="21"/>
      <c r="AV63" s="21"/>
      <c r="AW63" s="21"/>
      <c r="AX63" s="21">
        <v>11040</v>
      </c>
      <c r="AY63" s="21"/>
      <c r="AZ63" s="21"/>
      <c r="BA63" s="21"/>
      <c r="BB63" s="21">
        <v>8130</v>
      </c>
      <c r="BC63" s="21"/>
      <c r="BD63" s="21"/>
      <c r="BE63" s="21"/>
      <c r="BF63" s="16">
        <f>J63+N63+R63+V63+Z63+AD63+AH63+AL63+AP63+AT63+AX63+BB63</f>
        <v>138000</v>
      </c>
      <c r="BG63" s="16">
        <f>K63+O63+S63+W63+AA63+AE63+AI63+AM63+AQ63+AU63+AY63+BC63</f>
        <v>0</v>
      </c>
      <c r="BH63" s="16">
        <f>L63+P63+T63+X63+AB63+AF63+AJ63+AN63+AR63+AV63+AZ63+BD63</f>
        <v>0</v>
      </c>
      <c r="BI63" s="16">
        <f>M63+Q63+U63+Y63+AC63+AG63+AK63+AO63+AS63+AW63+BA63+BE63</f>
        <v>0</v>
      </c>
      <c r="BJ63" s="16"/>
      <c r="BK63" s="16"/>
      <c r="BL63" s="16"/>
      <c r="BM63" s="28">
        <f>BK63-BI63</f>
        <v>0</v>
      </c>
    </row>
    <row r="64" spans="2:65" x14ac:dyDescent="0.25">
      <c r="B64" s="14">
        <f>SUBTOTAL(3,$C$8:C64)</f>
        <v>57</v>
      </c>
      <c r="C64" s="26" t="s">
        <v>119</v>
      </c>
      <c r="D64" s="15" t="s">
        <v>31</v>
      </c>
      <c r="E64" s="15" t="s">
        <v>241</v>
      </c>
      <c r="F64" s="15" t="s">
        <v>33</v>
      </c>
      <c r="G64" s="15" t="s">
        <v>166</v>
      </c>
      <c r="H64" s="15" t="s">
        <v>170</v>
      </c>
      <c r="I64" s="15" t="s">
        <v>176</v>
      </c>
      <c r="J64" s="21">
        <v>3700</v>
      </c>
      <c r="K64" s="21">
        <v>1149</v>
      </c>
      <c r="L64" s="21"/>
      <c r="M64" s="21"/>
      <c r="N64" s="21">
        <v>3700</v>
      </c>
      <c r="O64" s="21"/>
      <c r="P64" s="21"/>
      <c r="Q64" s="21"/>
      <c r="R64" s="21">
        <v>2940</v>
      </c>
      <c r="S64" s="21">
        <v>3594</v>
      </c>
      <c r="T64" s="21"/>
      <c r="U64" s="21"/>
      <c r="V64" s="21">
        <v>3360</v>
      </c>
      <c r="W64" s="21"/>
      <c r="X64" s="21">
        <v>743</v>
      </c>
      <c r="Y64" s="21"/>
      <c r="Z64" s="21">
        <v>3780</v>
      </c>
      <c r="AA64" s="21"/>
      <c r="AB64" s="21">
        <v>1000</v>
      </c>
      <c r="AC64" s="21"/>
      <c r="AD64" s="21">
        <v>3780</v>
      </c>
      <c r="AE64" s="21"/>
      <c r="AF64" s="21">
        <v>2000</v>
      </c>
      <c r="AG64" s="21"/>
      <c r="AH64" s="21">
        <v>3780</v>
      </c>
      <c r="AI64" s="21"/>
      <c r="AJ64" s="21">
        <v>2000</v>
      </c>
      <c r="AK64" s="21"/>
      <c r="AL64" s="21">
        <v>3780</v>
      </c>
      <c r="AM64" s="21"/>
      <c r="AN64" s="21">
        <v>2500</v>
      </c>
      <c r="AO64" s="21"/>
      <c r="AP64" s="21">
        <v>3780</v>
      </c>
      <c r="AQ64" s="21"/>
      <c r="AR64" s="21">
        <v>2500</v>
      </c>
      <c r="AS64" s="21"/>
      <c r="AT64" s="21">
        <v>3570</v>
      </c>
      <c r="AU64" s="21"/>
      <c r="AV64" s="21">
        <v>2500</v>
      </c>
      <c r="AW64" s="21"/>
      <c r="AX64" s="21">
        <v>3360</v>
      </c>
      <c r="AY64" s="21"/>
      <c r="AZ64" s="21">
        <v>2000</v>
      </c>
      <c r="BA64" s="21"/>
      <c r="BB64" s="21">
        <v>2470</v>
      </c>
      <c r="BC64" s="21"/>
      <c r="BD64" s="21"/>
      <c r="BE64" s="21"/>
      <c r="BF64" s="16">
        <f>J64+N64+R64+V64+Z64+AD64+AH64+AL64+AP64+AT64+AX64+BB64</f>
        <v>42000</v>
      </c>
      <c r="BG64" s="16">
        <f>K64+O64+S64+W64+AA64+AE64+AI64+AM64+AQ64+AU64+AY64+BC64</f>
        <v>4743</v>
      </c>
      <c r="BH64" s="16">
        <f>L64+P64+T64+X64+AB64+AF64+AJ64+AN64+AR64+AV64+AZ64+BD64</f>
        <v>15243</v>
      </c>
      <c r="BI64" s="16">
        <f>M64+Q64+U64+Y64+AC64+AG64+AK64+AO64+AS64+AW64+BA64+BE64</f>
        <v>0</v>
      </c>
      <c r="BJ64" s="16">
        <v>20000</v>
      </c>
      <c r="BK64" s="16">
        <v>15000</v>
      </c>
      <c r="BL64" s="16">
        <v>10000</v>
      </c>
      <c r="BM64" s="28">
        <f>BK64-BI64</f>
        <v>15000</v>
      </c>
    </row>
    <row r="65" spans="2:65" x14ac:dyDescent="0.25">
      <c r="B65" s="14">
        <f>SUBTOTAL(3,$C$8:C65)</f>
        <v>58</v>
      </c>
      <c r="C65" s="26" t="s">
        <v>64</v>
      </c>
      <c r="D65" s="15" t="s">
        <v>107</v>
      </c>
      <c r="E65" s="15" t="s">
        <v>302</v>
      </c>
      <c r="F65" s="15" t="s">
        <v>117</v>
      </c>
      <c r="G65" s="15"/>
      <c r="H65" s="15"/>
      <c r="I65" s="15"/>
      <c r="J65" s="21">
        <v>5280</v>
      </c>
      <c r="K65" s="21"/>
      <c r="L65" s="21"/>
      <c r="M65" s="21"/>
      <c r="N65" s="21">
        <v>5280</v>
      </c>
      <c r="O65" s="21"/>
      <c r="P65" s="21"/>
      <c r="Q65" s="21"/>
      <c r="R65" s="21">
        <v>4200</v>
      </c>
      <c r="S65" s="21"/>
      <c r="T65" s="21"/>
      <c r="U65" s="21"/>
      <c r="V65" s="21">
        <v>4800</v>
      </c>
      <c r="W65" s="21"/>
      <c r="X65" s="21"/>
      <c r="Y65" s="21"/>
      <c r="Z65" s="21">
        <v>5400</v>
      </c>
      <c r="AA65" s="21"/>
      <c r="AB65" s="21"/>
      <c r="AC65" s="21"/>
      <c r="AD65" s="21">
        <v>5400</v>
      </c>
      <c r="AE65" s="21"/>
      <c r="AF65" s="21"/>
      <c r="AG65" s="21"/>
      <c r="AH65" s="21">
        <v>5400</v>
      </c>
      <c r="AI65" s="21"/>
      <c r="AJ65" s="21"/>
      <c r="AK65" s="21"/>
      <c r="AL65" s="21">
        <v>5400</v>
      </c>
      <c r="AM65" s="21"/>
      <c r="AN65" s="21"/>
      <c r="AO65" s="21"/>
      <c r="AP65" s="21">
        <v>5400</v>
      </c>
      <c r="AQ65" s="21"/>
      <c r="AR65" s="21"/>
      <c r="AS65" s="21"/>
      <c r="AT65" s="21">
        <v>5100</v>
      </c>
      <c r="AU65" s="21"/>
      <c r="AV65" s="21"/>
      <c r="AW65" s="21"/>
      <c r="AX65" s="21">
        <v>4800</v>
      </c>
      <c r="AY65" s="21"/>
      <c r="AZ65" s="21"/>
      <c r="BA65" s="21"/>
      <c r="BB65" s="21">
        <v>3540</v>
      </c>
      <c r="BC65" s="21"/>
      <c r="BD65" s="21"/>
      <c r="BE65" s="21"/>
      <c r="BF65" s="16">
        <f>J65+N65+R65+V65+Z65+AD65+AH65+AL65+AP65+AT65+AX65+BB65</f>
        <v>60000</v>
      </c>
      <c r="BG65" s="16">
        <f>K65+O65+S65+W65+AA65+AE65+AI65+AM65+AQ65+AU65+AY65+BC65</f>
        <v>0</v>
      </c>
      <c r="BH65" s="16">
        <f>L65+P65+T65+X65+AB65+AF65+AJ65+AN65+AR65+AV65+AZ65+BD65</f>
        <v>0</v>
      </c>
      <c r="BI65" s="16">
        <f>M65+Q65+U65+Y65+AC65+AG65+AK65+AO65+AS65+AW65+BA65+BE65</f>
        <v>0</v>
      </c>
      <c r="BJ65" s="16"/>
      <c r="BK65" s="16"/>
      <c r="BL65" s="16"/>
      <c r="BM65" s="28">
        <f>BK65-BI65</f>
        <v>0</v>
      </c>
    </row>
    <row r="66" spans="2:65" x14ac:dyDescent="0.25">
      <c r="B66" s="14">
        <f>SUBTOTAL(3,$C$8:C66)</f>
        <v>59</v>
      </c>
      <c r="C66" s="26" t="s">
        <v>119</v>
      </c>
      <c r="D66" s="15" t="s">
        <v>31</v>
      </c>
      <c r="E66" s="15" t="s">
        <v>233</v>
      </c>
      <c r="F66" s="15" t="s">
        <v>33</v>
      </c>
      <c r="G66" s="15" t="s">
        <v>166</v>
      </c>
      <c r="H66" s="15" t="s">
        <v>170</v>
      </c>
      <c r="I66" s="15" t="s">
        <v>171</v>
      </c>
      <c r="J66" s="21">
        <v>4230</v>
      </c>
      <c r="K66" s="21">
        <v>2830</v>
      </c>
      <c r="L66" s="21"/>
      <c r="M66" s="21"/>
      <c r="N66" s="21">
        <v>4230</v>
      </c>
      <c r="O66" s="21"/>
      <c r="P66" s="21"/>
      <c r="Q66" s="21"/>
      <c r="R66" s="21">
        <v>3360</v>
      </c>
      <c r="S66" s="21">
        <v>3503</v>
      </c>
      <c r="T66" s="21"/>
      <c r="U66" s="21"/>
      <c r="V66" s="21">
        <v>3840</v>
      </c>
      <c r="W66" s="21"/>
      <c r="X66" s="21"/>
      <c r="Y66" s="21"/>
      <c r="Z66" s="21">
        <v>4320</v>
      </c>
      <c r="AA66" s="21"/>
      <c r="AB66" s="21">
        <v>1000</v>
      </c>
      <c r="AC66" s="21"/>
      <c r="AD66" s="21">
        <v>4320</v>
      </c>
      <c r="AE66" s="21"/>
      <c r="AF66" s="21">
        <v>1000</v>
      </c>
      <c r="AG66" s="21"/>
      <c r="AH66" s="21">
        <v>4320</v>
      </c>
      <c r="AI66" s="21"/>
      <c r="AJ66" s="21">
        <v>1500</v>
      </c>
      <c r="AK66" s="21"/>
      <c r="AL66" s="21">
        <v>4320</v>
      </c>
      <c r="AM66" s="21"/>
      <c r="AN66" s="21">
        <v>2000</v>
      </c>
      <c r="AO66" s="21"/>
      <c r="AP66" s="21">
        <v>4320</v>
      </c>
      <c r="AQ66" s="21"/>
      <c r="AR66" s="21">
        <v>2000</v>
      </c>
      <c r="AS66" s="21"/>
      <c r="AT66" s="21">
        <v>4080</v>
      </c>
      <c r="AU66" s="21"/>
      <c r="AV66" s="21">
        <v>1500</v>
      </c>
      <c r="AW66" s="21"/>
      <c r="AX66" s="21">
        <v>3840</v>
      </c>
      <c r="AY66" s="21"/>
      <c r="AZ66" s="21">
        <v>1500</v>
      </c>
      <c r="BA66" s="21"/>
      <c r="BB66" s="21">
        <v>2820</v>
      </c>
      <c r="BC66" s="21"/>
      <c r="BD66" s="21"/>
      <c r="BE66" s="21"/>
      <c r="BF66" s="16">
        <f>J66+N66+R66+V66+Z66+AD66+AH66+AL66+AP66+AT66+AX66+BB66</f>
        <v>48000</v>
      </c>
      <c r="BG66" s="16">
        <f>K66+O66+S66+W66+AA66+AE66+AI66+AM66+AQ66+AU66+AY66+BC66</f>
        <v>6333</v>
      </c>
      <c r="BH66" s="16">
        <f>L66+P66+T66+X66+AB66+AF66+AJ66+AN66+AR66+AV66+AZ66+BD66</f>
        <v>10500</v>
      </c>
      <c r="BI66" s="16">
        <f>M66+Q66+U66+Y66+AC66+AG66+AK66+AO66+AS66+AW66+BA66+BE66</f>
        <v>0</v>
      </c>
      <c r="BJ66" s="16">
        <v>15000</v>
      </c>
      <c r="BK66" s="16">
        <v>10000</v>
      </c>
      <c r="BL66" s="16">
        <v>8000</v>
      </c>
      <c r="BM66" s="28">
        <f>BK66-BI66</f>
        <v>10000</v>
      </c>
    </row>
    <row r="67" spans="2:65" x14ac:dyDescent="0.25">
      <c r="B67" s="14">
        <f>SUBTOTAL(3,$C$8:C67)</f>
        <v>60</v>
      </c>
      <c r="C67" s="26" t="s">
        <v>64</v>
      </c>
      <c r="D67" s="15" t="s">
        <v>107</v>
      </c>
      <c r="E67" s="15" t="s">
        <v>303</v>
      </c>
      <c r="F67" s="15" t="s">
        <v>117</v>
      </c>
      <c r="G67" s="15"/>
      <c r="H67" s="15"/>
      <c r="I67" s="15"/>
      <c r="J67" s="21">
        <v>1890</v>
      </c>
      <c r="K67" s="21"/>
      <c r="L67" s="21"/>
      <c r="M67" s="21"/>
      <c r="N67" s="21">
        <v>1890</v>
      </c>
      <c r="O67" s="21"/>
      <c r="P67" s="21"/>
      <c r="Q67" s="21"/>
      <c r="R67" s="21">
        <v>1510</v>
      </c>
      <c r="S67" s="21"/>
      <c r="T67" s="21"/>
      <c r="U67" s="21"/>
      <c r="V67" s="21">
        <v>1720</v>
      </c>
      <c r="W67" s="21"/>
      <c r="X67" s="21"/>
      <c r="Y67" s="21"/>
      <c r="Z67" s="21">
        <v>1940</v>
      </c>
      <c r="AA67" s="21"/>
      <c r="AB67" s="21"/>
      <c r="AC67" s="21"/>
      <c r="AD67" s="21">
        <v>1940</v>
      </c>
      <c r="AE67" s="21"/>
      <c r="AF67" s="21"/>
      <c r="AG67" s="21"/>
      <c r="AH67" s="21">
        <v>1940</v>
      </c>
      <c r="AI67" s="21"/>
      <c r="AJ67" s="21"/>
      <c r="AK67" s="21"/>
      <c r="AL67" s="21">
        <v>1940</v>
      </c>
      <c r="AM67" s="21"/>
      <c r="AN67" s="21"/>
      <c r="AO67" s="21"/>
      <c r="AP67" s="21">
        <v>1940</v>
      </c>
      <c r="AQ67" s="21"/>
      <c r="AR67" s="21"/>
      <c r="AS67" s="21"/>
      <c r="AT67" s="21">
        <v>1830</v>
      </c>
      <c r="AU67" s="21"/>
      <c r="AV67" s="21"/>
      <c r="AW67" s="21"/>
      <c r="AX67" s="21">
        <v>1720</v>
      </c>
      <c r="AY67" s="21"/>
      <c r="AZ67" s="21"/>
      <c r="BA67" s="21"/>
      <c r="BB67" s="21">
        <v>1190</v>
      </c>
      <c r="BC67" s="21"/>
      <c r="BD67" s="21"/>
      <c r="BE67" s="21"/>
      <c r="BF67" s="16">
        <f>J67+N67+R67+V67+Z67+AD67+AH67+AL67+AP67+AT67+AX67+BB67</f>
        <v>21450</v>
      </c>
      <c r="BG67" s="16">
        <f>K67+O67+S67+W67+AA67+AE67+AI67+AM67+AQ67+AU67+AY67+BC67</f>
        <v>0</v>
      </c>
      <c r="BH67" s="16">
        <f>L67+P67+T67+X67+AB67+AF67+AJ67+AN67+AR67+AV67+AZ67+BD67</f>
        <v>0</v>
      </c>
      <c r="BI67" s="16">
        <f>M67+Q67+U67+Y67+AC67+AG67+AK67+AO67+AS67+AW67+BA67+BE67</f>
        <v>0</v>
      </c>
      <c r="BJ67" s="16"/>
      <c r="BK67" s="16"/>
      <c r="BL67" s="16"/>
      <c r="BM67" s="28">
        <f>BK67-BI67</f>
        <v>0</v>
      </c>
    </row>
    <row r="68" spans="2:65" x14ac:dyDescent="0.25">
      <c r="B68" s="14">
        <f>SUBTOTAL(3,$C$8:C68)</f>
        <v>61</v>
      </c>
      <c r="C68" s="26" t="s">
        <v>63</v>
      </c>
      <c r="D68" s="15" t="s">
        <v>140</v>
      </c>
      <c r="E68" s="15" t="s">
        <v>304</v>
      </c>
      <c r="F68" s="15" t="s">
        <v>116</v>
      </c>
      <c r="G68" s="15"/>
      <c r="H68" s="15"/>
      <c r="I68" s="15"/>
      <c r="J68" s="21">
        <v>2790</v>
      </c>
      <c r="K68" s="21"/>
      <c r="L68" s="21"/>
      <c r="M68" s="21"/>
      <c r="N68" s="21">
        <v>2790</v>
      </c>
      <c r="O68" s="21"/>
      <c r="P68" s="21"/>
      <c r="Q68" s="21"/>
      <c r="R68" s="21">
        <v>2220</v>
      </c>
      <c r="S68" s="21"/>
      <c r="T68" s="21"/>
      <c r="U68" s="21"/>
      <c r="V68" s="21">
        <v>2530</v>
      </c>
      <c r="W68" s="21"/>
      <c r="X68" s="21"/>
      <c r="Y68" s="21"/>
      <c r="Z68" s="21">
        <v>2850</v>
      </c>
      <c r="AA68" s="21"/>
      <c r="AB68" s="21"/>
      <c r="AC68" s="21"/>
      <c r="AD68" s="21">
        <v>2850</v>
      </c>
      <c r="AE68" s="21"/>
      <c r="AF68" s="21"/>
      <c r="AG68" s="21"/>
      <c r="AH68" s="21">
        <v>2850</v>
      </c>
      <c r="AI68" s="21"/>
      <c r="AJ68" s="21"/>
      <c r="AK68" s="21"/>
      <c r="AL68" s="21">
        <v>2850</v>
      </c>
      <c r="AM68" s="21"/>
      <c r="AN68" s="21"/>
      <c r="AO68" s="21"/>
      <c r="AP68" s="21">
        <v>2850</v>
      </c>
      <c r="AQ68" s="21"/>
      <c r="AR68" s="21"/>
      <c r="AS68" s="21"/>
      <c r="AT68" s="21">
        <v>2690</v>
      </c>
      <c r="AU68" s="21"/>
      <c r="AV68" s="21"/>
      <c r="AW68" s="21"/>
      <c r="AX68" s="21">
        <v>2530</v>
      </c>
      <c r="AY68" s="21"/>
      <c r="AZ68" s="21"/>
      <c r="BA68" s="21"/>
      <c r="BB68" s="21">
        <v>1800</v>
      </c>
      <c r="BC68" s="21"/>
      <c r="BD68" s="21"/>
      <c r="BE68" s="21"/>
      <c r="BF68" s="16">
        <f>J68+N68+R68+V68+Z68+AD68+AH68+AL68+AP68+AT68+AX68+BB68</f>
        <v>31600</v>
      </c>
      <c r="BG68" s="16">
        <f>K68+O68+S68+W68+AA68+AE68+AI68+AM68+AQ68+AU68+AY68+BC68</f>
        <v>0</v>
      </c>
      <c r="BH68" s="16">
        <f>L68+P68+T68+X68+AB68+AF68+AJ68+AN68+AR68+AV68+AZ68+BD68</f>
        <v>0</v>
      </c>
      <c r="BI68" s="16">
        <f>M68+Q68+U68+Y68+AC68+AG68+AK68+AO68+AS68+AW68+BA68+BE68</f>
        <v>0</v>
      </c>
      <c r="BJ68" s="16"/>
      <c r="BK68" s="16"/>
      <c r="BL68" s="16"/>
      <c r="BM68" s="28">
        <f>BK68-BI68</f>
        <v>0</v>
      </c>
    </row>
    <row r="69" spans="2:65" x14ac:dyDescent="0.25">
      <c r="B69" s="14">
        <f>SUBTOTAL(3,$C$8:C69)</f>
        <v>62</v>
      </c>
      <c r="C69" s="26" t="s">
        <v>119</v>
      </c>
      <c r="D69" s="15" t="s">
        <v>147</v>
      </c>
      <c r="E69" s="15" t="s">
        <v>305</v>
      </c>
      <c r="F69" s="15" t="s">
        <v>29</v>
      </c>
      <c r="G69" s="15"/>
      <c r="H69" s="15"/>
      <c r="I69" s="15"/>
      <c r="J69" s="21">
        <v>4930</v>
      </c>
      <c r="K69" s="21"/>
      <c r="L69" s="21"/>
      <c r="M69" s="21"/>
      <c r="N69" s="21">
        <v>4930</v>
      </c>
      <c r="O69" s="21"/>
      <c r="P69" s="21"/>
      <c r="Q69" s="21"/>
      <c r="R69" s="21">
        <v>3920</v>
      </c>
      <c r="S69" s="21"/>
      <c r="T69" s="21"/>
      <c r="U69" s="21"/>
      <c r="V69" s="21">
        <v>4480</v>
      </c>
      <c r="W69" s="21"/>
      <c r="X69" s="21"/>
      <c r="Y69" s="21"/>
      <c r="Z69" s="21">
        <v>5040</v>
      </c>
      <c r="AA69" s="21"/>
      <c r="AB69" s="21"/>
      <c r="AC69" s="21"/>
      <c r="AD69" s="21">
        <v>5040</v>
      </c>
      <c r="AE69" s="21"/>
      <c r="AF69" s="21"/>
      <c r="AG69" s="21"/>
      <c r="AH69" s="21">
        <v>5040</v>
      </c>
      <c r="AI69" s="21"/>
      <c r="AJ69" s="21"/>
      <c r="AK69" s="21"/>
      <c r="AL69" s="21">
        <v>5040</v>
      </c>
      <c r="AM69" s="21"/>
      <c r="AN69" s="21"/>
      <c r="AO69" s="21"/>
      <c r="AP69" s="21">
        <v>5040</v>
      </c>
      <c r="AQ69" s="21"/>
      <c r="AR69" s="21"/>
      <c r="AS69" s="21"/>
      <c r="AT69" s="21">
        <v>4760</v>
      </c>
      <c r="AU69" s="21"/>
      <c r="AV69" s="21"/>
      <c r="AW69" s="21"/>
      <c r="AX69" s="21">
        <v>4480</v>
      </c>
      <c r="AY69" s="21"/>
      <c r="AZ69" s="21"/>
      <c r="BA69" s="21"/>
      <c r="BB69" s="21">
        <v>3300</v>
      </c>
      <c r="BC69" s="21"/>
      <c r="BD69" s="21"/>
      <c r="BE69" s="21"/>
      <c r="BF69" s="16">
        <f>J69+N69+R69+V69+Z69+AD69+AH69+AL69+AP69+AT69+AX69+BB69</f>
        <v>56000</v>
      </c>
      <c r="BG69" s="16">
        <f>K69+O69+S69+W69+AA69+AE69+AI69+AM69+AQ69+AU69+AY69+BC69</f>
        <v>0</v>
      </c>
      <c r="BH69" s="16">
        <f>L69+P69+T69+X69+AB69+AF69+AJ69+AN69+AR69+AV69+AZ69+BD69</f>
        <v>0</v>
      </c>
      <c r="BI69" s="16">
        <f>M69+Q69+U69+Y69+AC69+AG69+AK69+AO69+AS69+AW69+BA69+BE69</f>
        <v>0</v>
      </c>
      <c r="BJ69" s="16"/>
      <c r="BK69" s="16"/>
      <c r="BL69" s="16"/>
      <c r="BM69" s="28">
        <f>BK69-BI69</f>
        <v>0</v>
      </c>
    </row>
    <row r="70" spans="2:65" x14ac:dyDescent="0.25">
      <c r="B70" s="14">
        <f>SUBTOTAL(3,$C$8:C70)</f>
        <v>63</v>
      </c>
      <c r="C70" s="26" t="s">
        <v>119</v>
      </c>
      <c r="D70" s="15" t="s">
        <v>31</v>
      </c>
      <c r="E70" s="15" t="s">
        <v>240</v>
      </c>
      <c r="F70" s="15" t="s">
        <v>33</v>
      </c>
      <c r="G70" s="15" t="s">
        <v>166</v>
      </c>
      <c r="H70" s="15" t="s">
        <v>170</v>
      </c>
      <c r="I70" s="15" t="s">
        <v>178</v>
      </c>
      <c r="J70" s="21">
        <v>1460</v>
      </c>
      <c r="K70" s="21">
        <v>593</v>
      </c>
      <c r="L70" s="21"/>
      <c r="M70" s="21">
        <v>0</v>
      </c>
      <c r="N70" s="21">
        <v>1460</v>
      </c>
      <c r="O70" s="21"/>
      <c r="P70" s="21"/>
      <c r="Q70" s="21">
        <v>511</v>
      </c>
      <c r="R70" s="21">
        <v>1160</v>
      </c>
      <c r="S70" s="21">
        <v>1747</v>
      </c>
      <c r="T70" s="21"/>
      <c r="U70" s="21">
        <v>254</v>
      </c>
      <c r="V70" s="21">
        <v>1320</v>
      </c>
      <c r="W70" s="21"/>
      <c r="X70" s="21">
        <v>398</v>
      </c>
      <c r="Y70" s="21"/>
      <c r="Z70" s="21">
        <v>1490</v>
      </c>
      <c r="AA70" s="21"/>
      <c r="AB70" s="21">
        <v>1500</v>
      </c>
      <c r="AC70" s="21"/>
      <c r="AD70" s="21">
        <v>1490</v>
      </c>
      <c r="AE70" s="21"/>
      <c r="AF70" s="21">
        <v>1500</v>
      </c>
      <c r="AG70" s="21"/>
      <c r="AH70" s="21">
        <v>1490</v>
      </c>
      <c r="AI70" s="21"/>
      <c r="AJ70" s="21">
        <v>2000</v>
      </c>
      <c r="AK70" s="21"/>
      <c r="AL70" s="21">
        <v>1490</v>
      </c>
      <c r="AM70" s="21"/>
      <c r="AN70" s="21">
        <v>2000</v>
      </c>
      <c r="AO70" s="21"/>
      <c r="AP70" s="21">
        <v>1490</v>
      </c>
      <c r="AQ70" s="21"/>
      <c r="AR70" s="21">
        <v>2000</v>
      </c>
      <c r="AS70" s="21"/>
      <c r="AT70" s="21">
        <v>1410</v>
      </c>
      <c r="AU70" s="21"/>
      <c r="AV70" s="21">
        <v>2000</v>
      </c>
      <c r="AW70" s="21"/>
      <c r="AX70" s="21">
        <v>1320</v>
      </c>
      <c r="AY70" s="21"/>
      <c r="AZ70" s="21">
        <v>2000</v>
      </c>
      <c r="BA70" s="21"/>
      <c r="BB70" s="21">
        <v>920</v>
      </c>
      <c r="BC70" s="21"/>
      <c r="BD70" s="21"/>
      <c r="BE70" s="21"/>
      <c r="BF70" s="16">
        <f>J70+N70+R70+V70+Z70+AD70+AH70+AL70+AP70+AT70+AX70+BB70</f>
        <v>16500</v>
      </c>
      <c r="BG70" s="16">
        <f>K70+O70+S70+W70+AA70+AE70+AI70+AM70+AQ70+AU70+AY70+BC70</f>
        <v>2340</v>
      </c>
      <c r="BH70" s="16">
        <f>L70+P70+T70+X70+AB70+AF70+AJ70+AN70+AR70+AV70+AZ70+BD70</f>
        <v>13398</v>
      </c>
      <c r="BI70" s="16">
        <f>M70+Q70+U70+Y70+AC70+AG70+AK70+AO70+AS70+AW70+BA70+BE70</f>
        <v>765</v>
      </c>
      <c r="BJ70" s="16">
        <v>20000</v>
      </c>
      <c r="BK70" s="16">
        <v>15000</v>
      </c>
      <c r="BL70" s="16">
        <v>10000</v>
      </c>
      <c r="BM70" s="28">
        <f>BK70-BI70</f>
        <v>14235</v>
      </c>
    </row>
    <row r="71" spans="2:65" x14ac:dyDescent="0.25">
      <c r="B71" s="14">
        <f>SUBTOTAL(3,$C$8:C71)</f>
        <v>64</v>
      </c>
      <c r="C71" s="26" t="s">
        <v>119</v>
      </c>
      <c r="D71" s="15" t="s">
        <v>31</v>
      </c>
      <c r="E71" s="15" t="s">
        <v>242</v>
      </c>
      <c r="F71" s="15" t="s">
        <v>33</v>
      </c>
      <c r="G71" s="15" t="s">
        <v>166</v>
      </c>
      <c r="H71" s="15" t="s">
        <v>170</v>
      </c>
      <c r="I71" s="15" t="s">
        <v>177</v>
      </c>
      <c r="J71" s="21">
        <v>1590</v>
      </c>
      <c r="K71" s="21">
        <v>660</v>
      </c>
      <c r="L71" s="21"/>
      <c r="M71" s="21"/>
      <c r="N71" s="21">
        <v>1590</v>
      </c>
      <c r="O71" s="21"/>
      <c r="P71" s="21"/>
      <c r="Q71" s="21"/>
      <c r="R71" s="21">
        <v>1260</v>
      </c>
      <c r="S71" s="21">
        <v>1222</v>
      </c>
      <c r="T71" s="21"/>
      <c r="U71" s="21"/>
      <c r="V71" s="21">
        <v>1440</v>
      </c>
      <c r="W71" s="21"/>
      <c r="X71" s="21">
        <v>220</v>
      </c>
      <c r="Y71" s="21"/>
      <c r="Z71" s="21">
        <v>1620</v>
      </c>
      <c r="AA71" s="21"/>
      <c r="AB71" s="21">
        <v>1000</v>
      </c>
      <c r="AC71" s="21"/>
      <c r="AD71" s="21">
        <v>1620</v>
      </c>
      <c r="AE71" s="21"/>
      <c r="AF71" s="21">
        <v>1500</v>
      </c>
      <c r="AG71" s="21"/>
      <c r="AH71" s="21">
        <v>1620</v>
      </c>
      <c r="AI71" s="21"/>
      <c r="AJ71" s="21">
        <v>1500</v>
      </c>
      <c r="AK71" s="21"/>
      <c r="AL71" s="21">
        <v>1620</v>
      </c>
      <c r="AM71" s="21"/>
      <c r="AN71" s="21">
        <v>1500</v>
      </c>
      <c r="AO71" s="21"/>
      <c r="AP71" s="21">
        <v>1620</v>
      </c>
      <c r="AQ71" s="21"/>
      <c r="AR71" s="21">
        <v>1500</v>
      </c>
      <c r="AS71" s="21"/>
      <c r="AT71" s="21">
        <v>1530</v>
      </c>
      <c r="AU71" s="21"/>
      <c r="AV71" s="21">
        <v>1500</v>
      </c>
      <c r="AW71" s="21"/>
      <c r="AX71" s="21">
        <v>1440</v>
      </c>
      <c r="AY71" s="21"/>
      <c r="AZ71" s="21">
        <v>1500</v>
      </c>
      <c r="BA71" s="21"/>
      <c r="BB71" s="21">
        <v>1050</v>
      </c>
      <c r="BC71" s="21"/>
      <c r="BD71" s="21"/>
      <c r="BE71" s="21"/>
      <c r="BF71" s="16">
        <f>J71+N71+R71+V71+Z71+AD71+AH71+AL71+AP71+AT71+AX71+BB71</f>
        <v>18000</v>
      </c>
      <c r="BG71" s="16">
        <f>K71+O71+S71+W71+AA71+AE71+AI71+AM71+AQ71+AU71+AY71+BC71</f>
        <v>1882</v>
      </c>
      <c r="BH71" s="16">
        <f>L71+P71+T71+X71+AB71+AF71+AJ71+AN71+AR71+AV71+AZ71+BD71</f>
        <v>10220</v>
      </c>
      <c r="BI71" s="16">
        <f>M71+Q71+U71+Y71+AC71+AG71+AK71+AO71+AS71+AW71+BA71+BE71</f>
        <v>0</v>
      </c>
      <c r="BJ71" s="16">
        <v>15000</v>
      </c>
      <c r="BK71" s="16">
        <v>10000</v>
      </c>
      <c r="BL71" s="16">
        <v>8000</v>
      </c>
      <c r="BM71" s="28">
        <f>BK71-BI71</f>
        <v>10000</v>
      </c>
    </row>
    <row r="72" spans="2:65" x14ac:dyDescent="0.25">
      <c r="B72" s="14">
        <f>SUBTOTAL(3,$C$8:C72)</f>
        <v>65</v>
      </c>
      <c r="C72" s="26" t="s">
        <v>64</v>
      </c>
      <c r="D72" s="15" t="s">
        <v>107</v>
      </c>
      <c r="E72" s="15" t="s">
        <v>258</v>
      </c>
      <c r="F72" s="15" t="s">
        <v>117</v>
      </c>
      <c r="G72" s="15" t="s">
        <v>166</v>
      </c>
      <c r="H72" s="15" t="s">
        <v>175</v>
      </c>
      <c r="I72" s="15"/>
      <c r="J72" s="21">
        <v>11440</v>
      </c>
      <c r="K72" s="21">
        <v>5390</v>
      </c>
      <c r="L72" s="21"/>
      <c r="M72" s="21"/>
      <c r="N72" s="21">
        <v>11440</v>
      </c>
      <c r="O72" s="21"/>
      <c r="P72" s="21"/>
      <c r="Q72" s="21"/>
      <c r="R72" s="21">
        <v>9100</v>
      </c>
      <c r="S72" s="21">
        <v>6688</v>
      </c>
      <c r="T72" s="21"/>
      <c r="U72" s="21"/>
      <c r="V72" s="21">
        <v>10400</v>
      </c>
      <c r="W72" s="21"/>
      <c r="X72" s="21"/>
      <c r="Y72" s="21"/>
      <c r="Z72" s="21">
        <v>11700</v>
      </c>
      <c r="AA72" s="21"/>
      <c r="AB72" s="21">
        <v>1500</v>
      </c>
      <c r="AC72" s="21"/>
      <c r="AD72" s="21">
        <v>11700</v>
      </c>
      <c r="AE72" s="21"/>
      <c r="AF72" s="21">
        <v>2000</v>
      </c>
      <c r="AG72" s="21"/>
      <c r="AH72" s="21">
        <v>11700</v>
      </c>
      <c r="AI72" s="21"/>
      <c r="AJ72" s="21">
        <v>2500</v>
      </c>
      <c r="AK72" s="21"/>
      <c r="AL72" s="21">
        <v>11700</v>
      </c>
      <c r="AM72" s="21"/>
      <c r="AN72" s="21">
        <v>2500</v>
      </c>
      <c r="AO72" s="21"/>
      <c r="AP72" s="21">
        <v>11700</v>
      </c>
      <c r="AQ72" s="21"/>
      <c r="AR72" s="21">
        <v>2000</v>
      </c>
      <c r="AS72" s="21"/>
      <c r="AT72" s="21">
        <v>11050</v>
      </c>
      <c r="AU72" s="21"/>
      <c r="AV72" s="21">
        <v>2000</v>
      </c>
      <c r="AW72" s="21"/>
      <c r="AX72" s="21">
        <v>10400</v>
      </c>
      <c r="AY72" s="21"/>
      <c r="AZ72" s="21">
        <v>2000</v>
      </c>
      <c r="BA72" s="21"/>
      <c r="BB72" s="21">
        <v>7670</v>
      </c>
      <c r="BC72" s="21"/>
      <c r="BD72" s="21"/>
      <c r="BE72" s="21"/>
      <c r="BF72" s="16">
        <f>J72+N72+R72+V72+Z72+AD72+AH72+AL72+AP72+AT72+AX72+BB72</f>
        <v>130000</v>
      </c>
      <c r="BG72" s="16">
        <f>K72+O72+S72+W72+AA72+AE72+AI72+AM72+AQ72+AU72+AY72+BC72</f>
        <v>12078</v>
      </c>
      <c r="BH72" s="16">
        <f>L72+P72+T72+X72+AB72+AF72+AJ72+AN72+AR72+AV72+AZ72+BD72</f>
        <v>14500</v>
      </c>
      <c r="BI72" s="16">
        <f>M72+Q72+U72+Y72+AC72+AG72+AK72+AO72+AS72+AW72+BA72+BE72</f>
        <v>0</v>
      </c>
      <c r="BJ72" s="16">
        <v>15000</v>
      </c>
      <c r="BK72" s="16">
        <v>10000</v>
      </c>
      <c r="BL72" s="16">
        <v>7000</v>
      </c>
      <c r="BM72" s="28">
        <f>BK72-BI72</f>
        <v>10000</v>
      </c>
    </row>
    <row r="73" spans="2:65" x14ac:dyDescent="0.25">
      <c r="B73" s="14">
        <f>SUBTOTAL(3,$C$8:C73)</f>
        <v>66</v>
      </c>
      <c r="C73" s="26" t="s">
        <v>119</v>
      </c>
      <c r="D73" s="15" t="s">
        <v>11</v>
      </c>
      <c r="E73" s="15" t="s">
        <v>223</v>
      </c>
      <c r="F73" s="15" t="s">
        <v>29</v>
      </c>
      <c r="G73" s="15" t="s">
        <v>166</v>
      </c>
      <c r="H73" s="15" t="s">
        <v>195</v>
      </c>
      <c r="I73" s="15" t="s">
        <v>206</v>
      </c>
      <c r="J73" s="21">
        <v>1750</v>
      </c>
      <c r="K73" s="21">
        <v>2578</v>
      </c>
      <c r="L73" s="21"/>
      <c r="M73" s="21">
        <v>261</v>
      </c>
      <c r="N73" s="21">
        <v>1750</v>
      </c>
      <c r="O73" s="21">
        <v>4349</v>
      </c>
      <c r="P73" s="21"/>
      <c r="Q73" s="21">
        <v>0</v>
      </c>
      <c r="R73" s="21">
        <v>1390</v>
      </c>
      <c r="S73" s="21">
        <v>1620</v>
      </c>
      <c r="T73" s="21"/>
      <c r="U73" s="21">
        <v>0</v>
      </c>
      <c r="V73" s="21">
        <v>1590</v>
      </c>
      <c r="W73" s="21"/>
      <c r="X73" s="21">
        <v>1160</v>
      </c>
      <c r="Y73" s="21"/>
      <c r="Z73" s="21">
        <v>1790</v>
      </c>
      <c r="AA73" s="21"/>
      <c r="AB73" s="21">
        <v>1500</v>
      </c>
      <c r="AC73" s="21"/>
      <c r="AD73" s="21">
        <v>1790</v>
      </c>
      <c r="AE73" s="21"/>
      <c r="AF73" s="21">
        <v>2000</v>
      </c>
      <c r="AG73" s="21"/>
      <c r="AH73" s="21">
        <v>1790</v>
      </c>
      <c r="AI73" s="21"/>
      <c r="AJ73" s="21">
        <v>2000</v>
      </c>
      <c r="AK73" s="21"/>
      <c r="AL73" s="21">
        <v>1790</v>
      </c>
      <c r="AM73" s="21"/>
      <c r="AN73" s="21">
        <v>2000</v>
      </c>
      <c r="AO73" s="21"/>
      <c r="AP73" s="21">
        <v>1790</v>
      </c>
      <c r="AQ73" s="21"/>
      <c r="AR73" s="21">
        <v>2000</v>
      </c>
      <c r="AS73" s="21"/>
      <c r="AT73" s="21">
        <v>1690</v>
      </c>
      <c r="AU73" s="21"/>
      <c r="AV73" s="21">
        <v>1500</v>
      </c>
      <c r="AW73" s="21"/>
      <c r="AX73" s="21">
        <v>1590</v>
      </c>
      <c r="AY73" s="21"/>
      <c r="AZ73" s="21">
        <v>1000</v>
      </c>
      <c r="BA73" s="21"/>
      <c r="BB73" s="21">
        <v>1090</v>
      </c>
      <c r="BC73" s="21"/>
      <c r="BD73" s="21"/>
      <c r="BE73" s="21"/>
      <c r="BF73" s="16">
        <f>J73+N73+R73+V73+Z73+AD73+AH73+AL73+AP73+AT73+AX73+BB73</f>
        <v>19800</v>
      </c>
      <c r="BG73" s="16">
        <f>K73+O73+S73+W73+AA73+AE73+AI73+AM73+AQ73+AU73+AY73+BC73</f>
        <v>8547</v>
      </c>
      <c r="BH73" s="16">
        <f>L73+P73+T73+X73+AB73+AF73+AJ73+AN73+AR73+AV73+AZ73+BD73</f>
        <v>13160</v>
      </c>
      <c r="BI73" s="16">
        <f>M73+Q73+U73+Y73+AC73+AG73+AK73+AO73+AS73+AW73+BA73+BE73</f>
        <v>261</v>
      </c>
      <c r="BJ73" s="16">
        <v>15000</v>
      </c>
      <c r="BK73" s="16">
        <v>12000</v>
      </c>
      <c r="BL73" s="16">
        <v>10000</v>
      </c>
      <c r="BM73" s="28">
        <f>BK73-BI73</f>
        <v>11739</v>
      </c>
    </row>
    <row r="74" spans="2:65" x14ac:dyDescent="0.25">
      <c r="B74" s="14">
        <f>SUBTOTAL(3,$C$8:C74)</f>
        <v>67</v>
      </c>
      <c r="C74" s="26" t="s">
        <v>119</v>
      </c>
      <c r="D74" s="15" t="s">
        <v>11</v>
      </c>
      <c r="E74" s="15" t="s">
        <v>211</v>
      </c>
      <c r="F74" s="15" t="s">
        <v>29</v>
      </c>
      <c r="G74" s="15" t="s">
        <v>166</v>
      </c>
      <c r="H74" s="15" t="s">
        <v>195</v>
      </c>
      <c r="I74" s="15" t="s">
        <v>196</v>
      </c>
      <c r="J74" s="21">
        <v>3200</v>
      </c>
      <c r="K74" s="21">
        <v>7076</v>
      </c>
      <c r="L74" s="21"/>
      <c r="M74" s="21">
        <v>0</v>
      </c>
      <c r="N74" s="21">
        <v>3200</v>
      </c>
      <c r="O74" s="21"/>
      <c r="P74" s="21"/>
      <c r="Q74" s="21">
        <v>0</v>
      </c>
      <c r="R74" s="21">
        <v>2550</v>
      </c>
      <c r="S74" s="21">
        <v>1905</v>
      </c>
      <c r="T74" s="21"/>
      <c r="U74" s="21">
        <v>174</v>
      </c>
      <c r="V74" s="21">
        <v>2910</v>
      </c>
      <c r="W74" s="21"/>
      <c r="X74" s="21">
        <v>0</v>
      </c>
      <c r="Y74" s="21"/>
      <c r="Z74" s="21">
        <v>3270</v>
      </c>
      <c r="AA74" s="21"/>
      <c r="AB74" s="21">
        <v>500</v>
      </c>
      <c r="AC74" s="21"/>
      <c r="AD74" s="21">
        <v>3270</v>
      </c>
      <c r="AE74" s="21"/>
      <c r="AF74" s="21">
        <v>500</v>
      </c>
      <c r="AG74" s="21"/>
      <c r="AH74" s="21">
        <v>3270</v>
      </c>
      <c r="AI74" s="21"/>
      <c r="AJ74" s="21">
        <v>750</v>
      </c>
      <c r="AK74" s="21"/>
      <c r="AL74" s="21">
        <v>3270</v>
      </c>
      <c r="AM74" s="21"/>
      <c r="AN74" s="21">
        <v>1000</v>
      </c>
      <c r="AO74" s="21"/>
      <c r="AP74" s="21">
        <v>3270</v>
      </c>
      <c r="AQ74" s="21"/>
      <c r="AR74" s="21">
        <v>750</v>
      </c>
      <c r="AS74" s="21"/>
      <c r="AT74" s="21">
        <v>3090</v>
      </c>
      <c r="AU74" s="21"/>
      <c r="AV74" s="21">
        <v>750</v>
      </c>
      <c r="AW74" s="21"/>
      <c r="AX74" s="21">
        <v>2910</v>
      </c>
      <c r="AY74" s="21"/>
      <c r="AZ74" s="21">
        <v>750</v>
      </c>
      <c r="BA74" s="21"/>
      <c r="BB74" s="21">
        <v>2090</v>
      </c>
      <c r="BC74" s="21"/>
      <c r="BD74" s="21"/>
      <c r="BE74" s="21"/>
      <c r="BF74" s="16">
        <f>J74+N74+R74+V74+Z74+AD74+AH74+AL74+AP74+AT74+AX74+BB74</f>
        <v>36300</v>
      </c>
      <c r="BG74" s="16">
        <f>K74+O74+S74+W74+AA74+AE74+AI74+AM74+AQ74+AU74+AY74+BC74</f>
        <v>8981</v>
      </c>
      <c r="BH74" s="16">
        <f>L74+P74+T74+X74+AB74+AF74+AJ74+AN74+AR74+AV74+AZ74+BD74</f>
        <v>5000</v>
      </c>
      <c r="BI74" s="16">
        <f>M74+Q74+U74+Y74+AC74+AG74+AK74+AO74+AS74+AW74+BA74+BE74</f>
        <v>174</v>
      </c>
      <c r="BJ74" s="16">
        <v>7000</v>
      </c>
      <c r="BK74" s="16">
        <v>5000</v>
      </c>
      <c r="BL74" s="16">
        <v>3000</v>
      </c>
      <c r="BM74" s="28">
        <f>BK74-BI74</f>
        <v>4826</v>
      </c>
    </row>
    <row r="75" spans="2:65" x14ac:dyDescent="0.25">
      <c r="B75" s="14">
        <f>SUBTOTAL(3,$C$8:C75)</f>
        <v>68</v>
      </c>
      <c r="C75" s="26" t="s">
        <v>64</v>
      </c>
      <c r="D75" s="15" t="s">
        <v>148</v>
      </c>
      <c r="E75" s="15" t="s">
        <v>306</v>
      </c>
      <c r="F75" s="15" t="s">
        <v>117</v>
      </c>
      <c r="G75" s="15"/>
      <c r="H75" s="15"/>
      <c r="I75" s="15"/>
      <c r="J75" s="21">
        <v>4230</v>
      </c>
      <c r="K75" s="21"/>
      <c r="L75" s="21"/>
      <c r="M75" s="21"/>
      <c r="N75" s="21">
        <v>4230</v>
      </c>
      <c r="O75" s="21"/>
      <c r="P75" s="21"/>
      <c r="Q75" s="21"/>
      <c r="R75" s="21">
        <v>3360</v>
      </c>
      <c r="S75" s="21"/>
      <c r="T75" s="21"/>
      <c r="U75" s="21"/>
      <c r="V75" s="21">
        <v>3840</v>
      </c>
      <c r="W75" s="21"/>
      <c r="X75" s="21"/>
      <c r="Y75" s="21"/>
      <c r="Z75" s="21">
        <v>4320</v>
      </c>
      <c r="AA75" s="21"/>
      <c r="AB75" s="21"/>
      <c r="AC75" s="21"/>
      <c r="AD75" s="21">
        <v>4320</v>
      </c>
      <c r="AE75" s="21"/>
      <c r="AF75" s="21"/>
      <c r="AG75" s="21"/>
      <c r="AH75" s="21">
        <v>4320</v>
      </c>
      <c r="AI75" s="21"/>
      <c r="AJ75" s="21"/>
      <c r="AK75" s="21"/>
      <c r="AL75" s="21">
        <v>4320</v>
      </c>
      <c r="AM75" s="21"/>
      <c r="AN75" s="21"/>
      <c r="AO75" s="21"/>
      <c r="AP75" s="21">
        <v>4320</v>
      </c>
      <c r="AQ75" s="21"/>
      <c r="AR75" s="21"/>
      <c r="AS75" s="21"/>
      <c r="AT75" s="21">
        <v>4080</v>
      </c>
      <c r="AU75" s="21"/>
      <c r="AV75" s="21"/>
      <c r="AW75" s="21"/>
      <c r="AX75" s="21">
        <v>3840</v>
      </c>
      <c r="AY75" s="21"/>
      <c r="AZ75" s="21"/>
      <c r="BA75" s="21"/>
      <c r="BB75" s="21">
        <v>2820</v>
      </c>
      <c r="BC75" s="21"/>
      <c r="BD75" s="21"/>
      <c r="BE75" s="21"/>
      <c r="BF75" s="16">
        <f>J75+N75+R75+V75+Z75+AD75+AH75+AL75+AP75+AT75+AX75+BB75</f>
        <v>48000</v>
      </c>
      <c r="BG75" s="16">
        <f>K75+O75+S75+W75+AA75+AE75+AI75+AM75+AQ75+AU75+AY75+BC75</f>
        <v>0</v>
      </c>
      <c r="BH75" s="16">
        <f>L75+P75+T75+X75+AB75+AF75+AJ75+AN75+AR75+AV75+AZ75+BD75</f>
        <v>0</v>
      </c>
      <c r="BI75" s="16">
        <f>M75+Q75+U75+Y75+AC75+AG75+AK75+AO75+AS75+AW75+BA75+BE75</f>
        <v>0</v>
      </c>
      <c r="BJ75" s="16"/>
      <c r="BK75" s="16"/>
      <c r="BL75" s="16"/>
      <c r="BM75" s="28">
        <f>BK75-BI75</f>
        <v>0</v>
      </c>
    </row>
    <row r="76" spans="2:65" x14ac:dyDescent="0.25">
      <c r="B76" s="14">
        <f>SUBTOTAL(3,$C$8:C76)</f>
        <v>69</v>
      </c>
      <c r="C76" s="26" t="s">
        <v>64</v>
      </c>
      <c r="D76" s="15" t="s">
        <v>103</v>
      </c>
      <c r="E76" s="15" t="s">
        <v>253</v>
      </c>
      <c r="F76" s="15" t="s">
        <v>117</v>
      </c>
      <c r="G76" s="15" t="s">
        <v>166</v>
      </c>
      <c r="H76" s="15" t="s">
        <v>167</v>
      </c>
      <c r="I76" s="15"/>
      <c r="J76" s="21">
        <v>1320</v>
      </c>
      <c r="K76" s="21">
        <v>4325</v>
      </c>
      <c r="L76" s="21"/>
      <c r="M76" s="21"/>
      <c r="N76" s="21">
        <v>1320</v>
      </c>
      <c r="O76" s="21"/>
      <c r="P76" s="21"/>
      <c r="Q76" s="21"/>
      <c r="R76" s="21">
        <v>1050</v>
      </c>
      <c r="S76" s="21">
        <v>2064</v>
      </c>
      <c r="T76" s="21"/>
      <c r="U76" s="21"/>
      <c r="V76" s="21">
        <v>1200</v>
      </c>
      <c r="W76" s="21"/>
      <c r="X76" s="21">
        <v>0</v>
      </c>
      <c r="Y76" s="21"/>
      <c r="Z76" s="21">
        <v>1350</v>
      </c>
      <c r="AA76" s="21"/>
      <c r="AB76" s="21">
        <v>700</v>
      </c>
      <c r="AC76" s="21"/>
      <c r="AD76" s="21">
        <v>1350</v>
      </c>
      <c r="AE76" s="21"/>
      <c r="AF76" s="21">
        <v>700</v>
      </c>
      <c r="AG76" s="21"/>
      <c r="AH76" s="21">
        <v>1350</v>
      </c>
      <c r="AI76" s="21"/>
      <c r="AJ76" s="21">
        <v>1000</v>
      </c>
      <c r="AK76" s="21"/>
      <c r="AL76" s="21">
        <v>1350</v>
      </c>
      <c r="AM76" s="21"/>
      <c r="AN76" s="21">
        <v>1000</v>
      </c>
      <c r="AO76" s="21"/>
      <c r="AP76" s="21">
        <v>1350</v>
      </c>
      <c r="AQ76" s="21"/>
      <c r="AR76" s="21">
        <v>700</v>
      </c>
      <c r="AS76" s="21"/>
      <c r="AT76" s="21">
        <v>1280</v>
      </c>
      <c r="AU76" s="21"/>
      <c r="AV76" s="21">
        <v>700</v>
      </c>
      <c r="AW76" s="21"/>
      <c r="AX76" s="21">
        <v>1200</v>
      </c>
      <c r="AY76" s="21"/>
      <c r="AZ76" s="21">
        <v>700</v>
      </c>
      <c r="BA76" s="21"/>
      <c r="BB76" s="21">
        <v>880</v>
      </c>
      <c r="BC76" s="21"/>
      <c r="BD76" s="21"/>
      <c r="BE76" s="21"/>
      <c r="BF76" s="16">
        <f>J76+N76+R76+V76+Z76+AD76+AH76+AL76+AP76+AT76+AX76+BB76</f>
        <v>15000</v>
      </c>
      <c r="BG76" s="16">
        <f>K76+O76+S76+W76+AA76+AE76+AI76+AM76+AQ76+AU76+AY76+BC76</f>
        <v>6389</v>
      </c>
      <c r="BH76" s="16">
        <f>L76+P76+T76+X76+AB76+AF76+AJ76+AN76+AR76+AV76+AZ76+BD76</f>
        <v>5500</v>
      </c>
      <c r="BI76" s="16">
        <f>M76+Q76+U76+Y76+AC76+AG76+AK76+AO76+AS76+AW76+BA76+BE76</f>
        <v>0</v>
      </c>
      <c r="BJ76" s="16">
        <v>10000</v>
      </c>
      <c r="BK76" s="16">
        <v>5000</v>
      </c>
      <c r="BL76" s="16">
        <v>3000</v>
      </c>
      <c r="BM76" s="28">
        <f>BK76-BI76</f>
        <v>5000</v>
      </c>
    </row>
    <row r="77" spans="2:65" x14ac:dyDescent="0.25">
      <c r="B77" s="14">
        <f>SUBTOTAL(3,$C$8:C77)</f>
        <v>70</v>
      </c>
      <c r="C77" s="26" t="s">
        <v>64</v>
      </c>
      <c r="D77" s="15" t="s">
        <v>107</v>
      </c>
      <c r="E77" s="15" t="s">
        <v>260</v>
      </c>
      <c r="F77" s="15" t="s">
        <v>117</v>
      </c>
      <c r="G77" s="15"/>
      <c r="H77" s="15"/>
      <c r="I77" s="15"/>
      <c r="J77" s="21">
        <v>7400</v>
      </c>
      <c r="K77" s="21">
        <v>10671</v>
      </c>
      <c r="L77" s="21"/>
      <c r="M77" s="21"/>
      <c r="N77" s="21">
        <v>7400</v>
      </c>
      <c r="O77" s="21"/>
      <c r="P77" s="21"/>
      <c r="Q77" s="21"/>
      <c r="R77" s="21">
        <v>5880</v>
      </c>
      <c r="S77" s="21">
        <v>10087</v>
      </c>
      <c r="T77" s="21"/>
      <c r="U77" s="21"/>
      <c r="V77" s="21">
        <v>6720</v>
      </c>
      <c r="W77" s="21"/>
      <c r="X77" s="21"/>
      <c r="Y77" s="21"/>
      <c r="Z77" s="21">
        <v>7560</v>
      </c>
      <c r="AA77" s="21"/>
      <c r="AB77" s="21"/>
      <c r="AC77" s="21"/>
      <c r="AD77" s="21">
        <v>7560</v>
      </c>
      <c r="AE77" s="21"/>
      <c r="AF77" s="21"/>
      <c r="AG77" s="21"/>
      <c r="AH77" s="21">
        <v>7560</v>
      </c>
      <c r="AI77" s="21"/>
      <c r="AJ77" s="21"/>
      <c r="AK77" s="21"/>
      <c r="AL77" s="21">
        <v>7560</v>
      </c>
      <c r="AM77" s="21"/>
      <c r="AN77" s="21"/>
      <c r="AO77" s="21"/>
      <c r="AP77" s="21">
        <v>7560</v>
      </c>
      <c r="AQ77" s="21"/>
      <c r="AR77" s="21"/>
      <c r="AS77" s="21"/>
      <c r="AT77" s="21">
        <v>7140</v>
      </c>
      <c r="AU77" s="21"/>
      <c r="AV77" s="21"/>
      <c r="AW77" s="21"/>
      <c r="AX77" s="21">
        <v>6720</v>
      </c>
      <c r="AY77" s="21"/>
      <c r="AZ77" s="21"/>
      <c r="BA77" s="21"/>
      <c r="BB77" s="21">
        <v>4940</v>
      </c>
      <c r="BC77" s="21"/>
      <c r="BD77" s="21"/>
      <c r="BE77" s="21"/>
      <c r="BF77" s="16">
        <f>J77+N77+R77+V77+Z77+AD77+AH77+AL77+AP77+AT77+AX77+BB77</f>
        <v>84000</v>
      </c>
      <c r="BG77" s="16">
        <f>K77+O77+S77+W77+AA77+AE77+AI77+AM77+AQ77+AU77+AY77+BC77</f>
        <v>20758</v>
      </c>
      <c r="BH77" s="16">
        <f>L77+P77+T77+X77+AB77+AF77+AJ77+AN77+AR77+AV77+AZ77+BD77</f>
        <v>0</v>
      </c>
      <c r="BI77" s="16">
        <f>M77+Q77+U77+Y77+AC77+AG77+AK77+AO77+AS77+AW77+BA77+BE77</f>
        <v>0</v>
      </c>
      <c r="BJ77" s="16"/>
      <c r="BK77" s="16"/>
      <c r="BL77" s="16"/>
      <c r="BM77" s="28">
        <f>BK77-BI77</f>
        <v>0</v>
      </c>
    </row>
    <row r="78" spans="2:65" x14ac:dyDescent="0.25">
      <c r="B78" s="14">
        <f>SUBTOTAL(3,$C$8:C78)</f>
        <v>71</v>
      </c>
      <c r="C78" s="26" t="s">
        <v>119</v>
      </c>
      <c r="D78" s="15" t="s">
        <v>31</v>
      </c>
      <c r="E78" s="15" t="s">
        <v>231</v>
      </c>
      <c r="F78" s="15" t="s">
        <v>33</v>
      </c>
      <c r="G78" s="15" t="s">
        <v>166</v>
      </c>
      <c r="H78" s="15" t="s">
        <v>170</v>
      </c>
      <c r="I78" s="15" t="s">
        <v>171</v>
      </c>
      <c r="J78" s="21">
        <v>1890</v>
      </c>
      <c r="K78" s="21">
        <v>3536</v>
      </c>
      <c r="L78" s="21"/>
      <c r="M78" s="21">
        <v>1838</v>
      </c>
      <c r="N78" s="21">
        <v>1890</v>
      </c>
      <c r="O78" s="21">
        <v>2230</v>
      </c>
      <c r="P78" s="21"/>
      <c r="Q78" s="21">
        <v>1884</v>
      </c>
      <c r="R78" s="21">
        <v>1510</v>
      </c>
      <c r="S78" s="21">
        <v>2191</v>
      </c>
      <c r="T78" s="21"/>
      <c r="U78" s="21">
        <v>0</v>
      </c>
      <c r="V78" s="21">
        <v>1720</v>
      </c>
      <c r="W78" s="21"/>
      <c r="X78" s="21">
        <v>2170</v>
      </c>
      <c r="Y78" s="21"/>
      <c r="Z78" s="21">
        <v>1940</v>
      </c>
      <c r="AA78" s="21"/>
      <c r="AB78" s="21">
        <v>3000</v>
      </c>
      <c r="AC78" s="21"/>
      <c r="AD78" s="21">
        <v>1940</v>
      </c>
      <c r="AE78" s="21"/>
      <c r="AF78" s="21">
        <v>3500</v>
      </c>
      <c r="AG78" s="21"/>
      <c r="AH78" s="21">
        <v>1940</v>
      </c>
      <c r="AI78" s="21"/>
      <c r="AJ78" s="21">
        <v>3500</v>
      </c>
      <c r="AK78" s="21"/>
      <c r="AL78" s="21">
        <v>1940</v>
      </c>
      <c r="AM78" s="21"/>
      <c r="AN78" s="21">
        <v>3500</v>
      </c>
      <c r="AO78" s="21"/>
      <c r="AP78" s="21">
        <v>1940</v>
      </c>
      <c r="AQ78" s="21"/>
      <c r="AR78" s="21">
        <v>3500</v>
      </c>
      <c r="AS78" s="21"/>
      <c r="AT78" s="21">
        <v>1830</v>
      </c>
      <c r="AU78" s="21"/>
      <c r="AV78" s="21">
        <v>3500</v>
      </c>
      <c r="AW78" s="21"/>
      <c r="AX78" s="21">
        <v>1720</v>
      </c>
      <c r="AY78" s="21"/>
      <c r="AZ78" s="21">
        <v>3500</v>
      </c>
      <c r="BA78" s="21"/>
      <c r="BB78" s="21">
        <v>1190</v>
      </c>
      <c r="BC78" s="21"/>
      <c r="BD78" s="21"/>
      <c r="BE78" s="21"/>
      <c r="BF78" s="16">
        <f>J78+N78+R78+V78+Z78+AD78+AH78+AL78+AP78+AT78+AX78+BB78</f>
        <v>21450</v>
      </c>
      <c r="BG78" s="16">
        <f>K78+O78+S78+W78+AA78+AE78+AI78+AM78+AQ78+AU78+AY78+BC78</f>
        <v>7957</v>
      </c>
      <c r="BH78" s="16">
        <f>L78+P78+T78+X78+AB78+AF78+AJ78+AN78+AR78+AV78+AZ78+BD78</f>
        <v>26170</v>
      </c>
      <c r="BI78" s="16">
        <f>M78+Q78+U78+Y78+AC78+AG78+AK78+AO78+AS78+AW78+BA78+BE78</f>
        <v>3722</v>
      </c>
      <c r="BJ78" s="16">
        <v>30000</v>
      </c>
      <c r="BK78" s="16">
        <v>25000</v>
      </c>
      <c r="BL78" s="16">
        <v>20000</v>
      </c>
      <c r="BM78" s="28">
        <f>BK78-BI78</f>
        <v>21278</v>
      </c>
    </row>
    <row r="79" spans="2:65" x14ac:dyDescent="0.25">
      <c r="B79" s="14">
        <f>SUBTOTAL(3,$C$8:C79)</f>
        <v>72</v>
      </c>
      <c r="C79" s="26" t="s">
        <v>64</v>
      </c>
      <c r="D79" s="15" t="s">
        <v>104</v>
      </c>
      <c r="E79" s="15" t="s">
        <v>256</v>
      </c>
      <c r="F79" s="15" t="s">
        <v>117</v>
      </c>
      <c r="G79" s="15" t="s">
        <v>166</v>
      </c>
      <c r="H79" s="15" t="s">
        <v>139</v>
      </c>
      <c r="I79" s="15"/>
      <c r="J79" s="21">
        <v>2120</v>
      </c>
      <c r="K79" s="21">
        <v>1456</v>
      </c>
      <c r="L79" s="21"/>
      <c r="M79" s="21"/>
      <c r="N79" s="21">
        <v>2120</v>
      </c>
      <c r="O79" s="21"/>
      <c r="P79" s="21"/>
      <c r="Q79" s="21"/>
      <c r="R79" s="21">
        <v>1680</v>
      </c>
      <c r="S79" s="21">
        <v>1352</v>
      </c>
      <c r="T79" s="21"/>
      <c r="U79" s="21"/>
      <c r="V79" s="21">
        <v>1920</v>
      </c>
      <c r="W79" s="21"/>
      <c r="X79" s="21">
        <v>0</v>
      </c>
      <c r="Y79" s="21"/>
      <c r="Z79" s="21">
        <v>2160</v>
      </c>
      <c r="AA79" s="21"/>
      <c r="AB79" s="21">
        <v>1000</v>
      </c>
      <c r="AC79" s="21"/>
      <c r="AD79" s="21">
        <v>2160</v>
      </c>
      <c r="AE79" s="21"/>
      <c r="AF79" s="21">
        <v>1500</v>
      </c>
      <c r="AG79" s="21"/>
      <c r="AH79" s="21">
        <v>2160</v>
      </c>
      <c r="AI79" s="21"/>
      <c r="AJ79" s="21">
        <v>1500</v>
      </c>
      <c r="AK79" s="21"/>
      <c r="AL79" s="21">
        <v>2160</v>
      </c>
      <c r="AM79" s="21"/>
      <c r="AN79" s="21">
        <v>1500</v>
      </c>
      <c r="AO79" s="21"/>
      <c r="AP79" s="21">
        <v>2160</v>
      </c>
      <c r="AQ79" s="21"/>
      <c r="AR79" s="21">
        <v>1500</v>
      </c>
      <c r="AS79" s="21"/>
      <c r="AT79" s="21">
        <v>2040</v>
      </c>
      <c r="AU79" s="21"/>
      <c r="AV79" s="21">
        <v>1000</v>
      </c>
      <c r="AW79" s="21"/>
      <c r="AX79" s="21">
        <v>1920</v>
      </c>
      <c r="AY79" s="21"/>
      <c r="AZ79" s="21">
        <v>1000</v>
      </c>
      <c r="BA79" s="21"/>
      <c r="BB79" s="21">
        <v>1400</v>
      </c>
      <c r="BC79" s="21"/>
      <c r="BD79" s="21"/>
      <c r="BE79" s="21"/>
      <c r="BF79" s="16">
        <f>J79+N79+R79+V79+Z79+AD79+AH79+AL79+AP79+AT79+AX79+BB79</f>
        <v>24000</v>
      </c>
      <c r="BG79" s="16">
        <f>K79+O79+S79+W79+AA79+AE79+AI79+AM79+AQ79+AU79+AY79+BC79</f>
        <v>2808</v>
      </c>
      <c r="BH79" s="16">
        <f>L79+P79+T79+X79+AB79+AF79+AJ79+AN79+AR79+AV79+AZ79+BD79</f>
        <v>9000</v>
      </c>
      <c r="BI79" s="16">
        <f>M79+Q79+U79+Y79+AC79+AG79+AK79+AO79+AS79+AW79+BA79+BE79</f>
        <v>0</v>
      </c>
      <c r="BJ79" s="16">
        <v>10000</v>
      </c>
      <c r="BK79" s="16">
        <v>4000</v>
      </c>
      <c r="BL79" s="16">
        <v>3000</v>
      </c>
      <c r="BM79" s="28">
        <f>BK79-BI79</f>
        <v>4000</v>
      </c>
    </row>
    <row r="80" spans="2:65" x14ac:dyDescent="0.25">
      <c r="B80" s="14">
        <f>SUBTOTAL(3,$C$8:C80)</f>
        <v>73</v>
      </c>
      <c r="C80" s="26" t="s">
        <v>64</v>
      </c>
      <c r="D80" s="15" t="s">
        <v>104</v>
      </c>
      <c r="E80" s="15" t="s">
        <v>254</v>
      </c>
      <c r="F80" s="15" t="s">
        <v>117</v>
      </c>
      <c r="G80" s="15"/>
      <c r="H80" s="15"/>
      <c r="I80" s="15"/>
      <c r="J80" s="21">
        <v>2860</v>
      </c>
      <c r="K80" s="21">
        <v>2920</v>
      </c>
      <c r="L80" s="21"/>
      <c r="M80" s="21"/>
      <c r="N80" s="21">
        <v>2860</v>
      </c>
      <c r="O80" s="21"/>
      <c r="P80" s="21"/>
      <c r="Q80" s="21"/>
      <c r="R80" s="21">
        <v>2270</v>
      </c>
      <c r="S80" s="21">
        <v>2402</v>
      </c>
      <c r="T80" s="21"/>
      <c r="U80" s="21"/>
      <c r="V80" s="21">
        <v>2600</v>
      </c>
      <c r="W80" s="21"/>
      <c r="X80" s="21">
        <v>0</v>
      </c>
      <c r="Y80" s="21"/>
      <c r="Z80" s="21">
        <v>2920</v>
      </c>
      <c r="AA80" s="21"/>
      <c r="AB80" s="21"/>
      <c r="AC80" s="21"/>
      <c r="AD80" s="21">
        <v>2920</v>
      </c>
      <c r="AE80" s="21"/>
      <c r="AF80" s="21"/>
      <c r="AG80" s="21"/>
      <c r="AH80" s="21">
        <v>2920</v>
      </c>
      <c r="AI80" s="21"/>
      <c r="AJ80" s="21"/>
      <c r="AK80" s="21"/>
      <c r="AL80" s="21">
        <v>2920</v>
      </c>
      <c r="AM80" s="21"/>
      <c r="AN80" s="21"/>
      <c r="AO80" s="21"/>
      <c r="AP80" s="21">
        <v>2920</v>
      </c>
      <c r="AQ80" s="21"/>
      <c r="AR80" s="21"/>
      <c r="AS80" s="21"/>
      <c r="AT80" s="21">
        <v>2760</v>
      </c>
      <c r="AU80" s="21"/>
      <c r="AV80" s="21"/>
      <c r="AW80" s="21"/>
      <c r="AX80" s="21">
        <v>2600</v>
      </c>
      <c r="AY80" s="21"/>
      <c r="AZ80" s="21"/>
      <c r="BA80" s="21"/>
      <c r="BB80" s="21">
        <v>1850</v>
      </c>
      <c r="BC80" s="21"/>
      <c r="BD80" s="21"/>
      <c r="BE80" s="21"/>
      <c r="BF80" s="16">
        <f>J80+N80+R80+V80+Z80+AD80+AH80+AL80+AP80+AT80+AX80+BB80</f>
        <v>32400</v>
      </c>
      <c r="BG80" s="16">
        <f>K80+O80+S80+W80+AA80+AE80+AI80+AM80+AQ80+AU80+AY80+BC80</f>
        <v>5322</v>
      </c>
      <c r="BH80" s="16">
        <f>L80+P80+T80+X80+AB80+AF80+AJ80+AN80+AR80+AV80+AZ80+BD80</f>
        <v>0</v>
      </c>
      <c r="BI80" s="16">
        <f>M80+Q80+U80+Y80+AC80+AG80+AK80+AO80+AS80+AW80+BA80+BE80</f>
        <v>0</v>
      </c>
      <c r="BJ80" s="16"/>
      <c r="BK80" s="16"/>
      <c r="BL80" s="16"/>
      <c r="BM80" s="28">
        <f>BK80-BI80</f>
        <v>0</v>
      </c>
    </row>
    <row r="81" spans="2:65" x14ac:dyDescent="0.25">
      <c r="B81" s="14">
        <f>SUBTOTAL(3,$C$8:C81)</f>
        <v>74</v>
      </c>
      <c r="C81" s="26" t="s">
        <v>64</v>
      </c>
      <c r="D81" s="15" t="s">
        <v>107</v>
      </c>
      <c r="E81" s="15" t="s">
        <v>307</v>
      </c>
      <c r="F81" s="15" t="s">
        <v>117</v>
      </c>
      <c r="G81" s="15"/>
      <c r="H81" s="15"/>
      <c r="I81" s="15"/>
      <c r="J81" s="21">
        <v>3170</v>
      </c>
      <c r="K81" s="21"/>
      <c r="L81" s="21"/>
      <c r="M81" s="21"/>
      <c r="N81" s="21">
        <v>3170</v>
      </c>
      <c r="O81" s="21"/>
      <c r="P81" s="21"/>
      <c r="Q81" s="21"/>
      <c r="R81" s="21">
        <v>2520</v>
      </c>
      <c r="S81" s="21"/>
      <c r="T81" s="21"/>
      <c r="U81" s="21"/>
      <c r="V81" s="21">
        <v>2880</v>
      </c>
      <c r="W81" s="21"/>
      <c r="X81" s="21"/>
      <c r="Y81" s="21"/>
      <c r="Z81" s="21">
        <v>3240</v>
      </c>
      <c r="AA81" s="21"/>
      <c r="AB81" s="21"/>
      <c r="AC81" s="21"/>
      <c r="AD81" s="21">
        <v>3240</v>
      </c>
      <c r="AE81" s="21"/>
      <c r="AF81" s="21"/>
      <c r="AG81" s="21"/>
      <c r="AH81" s="21">
        <v>3240</v>
      </c>
      <c r="AI81" s="21"/>
      <c r="AJ81" s="21"/>
      <c r="AK81" s="21"/>
      <c r="AL81" s="21">
        <v>3240</v>
      </c>
      <c r="AM81" s="21"/>
      <c r="AN81" s="21"/>
      <c r="AO81" s="21"/>
      <c r="AP81" s="21">
        <v>3240</v>
      </c>
      <c r="AQ81" s="21"/>
      <c r="AR81" s="21"/>
      <c r="AS81" s="21"/>
      <c r="AT81" s="21">
        <v>3060</v>
      </c>
      <c r="AU81" s="21"/>
      <c r="AV81" s="21"/>
      <c r="AW81" s="21"/>
      <c r="AX81" s="21">
        <v>2880</v>
      </c>
      <c r="AY81" s="21"/>
      <c r="AZ81" s="21"/>
      <c r="BA81" s="21"/>
      <c r="BB81" s="21">
        <v>2120</v>
      </c>
      <c r="BC81" s="21"/>
      <c r="BD81" s="21"/>
      <c r="BE81" s="21"/>
      <c r="BF81" s="16">
        <f>J81+N81+R81+V81+Z81+AD81+AH81+AL81+AP81+AT81+AX81+BB81</f>
        <v>36000</v>
      </c>
      <c r="BG81" s="16">
        <f>K81+O81+S81+W81+AA81+AE81+AI81+AM81+AQ81+AU81+AY81+BC81</f>
        <v>0</v>
      </c>
      <c r="BH81" s="16">
        <f>L81+P81+T81+X81+AB81+AF81+AJ81+AN81+AR81+AV81+AZ81+BD81</f>
        <v>0</v>
      </c>
      <c r="BI81" s="16">
        <f>M81+Q81+U81+Y81+AC81+AG81+AK81+AO81+AS81+AW81+BA81+BE81</f>
        <v>0</v>
      </c>
      <c r="BJ81" s="16"/>
      <c r="BK81" s="16"/>
      <c r="BL81" s="16"/>
      <c r="BM81" s="28">
        <f>BK81-BI81</f>
        <v>0</v>
      </c>
    </row>
    <row r="82" spans="2:65" x14ac:dyDescent="0.25">
      <c r="B82" s="14">
        <f>SUBTOTAL(3,$C$8:C82)</f>
        <v>75</v>
      </c>
      <c r="C82" s="26" t="s">
        <v>64</v>
      </c>
      <c r="D82" s="15" t="s">
        <v>104</v>
      </c>
      <c r="E82" s="15" t="s">
        <v>308</v>
      </c>
      <c r="F82" s="15" t="s">
        <v>117</v>
      </c>
      <c r="G82" s="15"/>
      <c r="H82" s="15"/>
      <c r="I82" s="15"/>
      <c r="J82" s="21">
        <v>1060</v>
      </c>
      <c r="K82" s="21"/>
      <c r="L82" s="21"/>
      <c r="M82" s="21"/>
      <c r="N82" s="21">
        <v>1060</v>
      </c>
      <c r="O82" s="21"/>
      <c r="P82" s="21"/>
      <c r="Q82" s="21"/>
      <c r="R82" s="21">
        <v>840</v>
      </c>
      <c r="S82" s="21"/>
      <c r="T82" s="21"/>
      <c r="U82" s="21"/>
      <c r="V82" s="21">
        <v>960</v>
      </c>
      <c r="W82" s="21"/>
      <c r="X82" s="21"/>
      <c r="Y82" s="21"/>
      <c r="Z82" s="21">
        <v>1080</v>
      </c>
      <c r="AA82" s="21"/>
      <c r="AB82" s="21"/>
      <c r="AC82" s="21"/>
      <c r="AD82" s="21">
        <v>1080</v>
      </c>
      <c r="AE82" s="21"/>
      <c r="AF82" s="21"/>
      <c r="AG82" s="21"/>
      <c r="AH82" s="21">
        <v>1080</v>
      </c>
      <c r="AI82" s="21"/>
      <c r="AJ82" s="21"/>
      <c r="AK82" s="21"/>
      <c r="AL82" s="21">
        <v>1080</v>
      </c>
      <c r="AM82" s="21"/>
      <c r="AN82" s="21"/>
      <c r="AO82" s="21"/>
      <c r="AP82" s="21">
        <v>1080</v>
      </c>
      <c r="AQ82" s="21"/>
      <c r="AR82" s="21"/>
      <c r="AS82" s="21"/>
      <c r="AT82" s="21">
        <v>1020</v>
      </c>
      <c r="AU82" s="21"/>
      <c r="AV82" s="21"/>
      <c r="AW82" s="21"/>
      <c r="AX82" s="21">
        <v>960</v>
      </c>
      <c r="AY82" s="21"/>
      <c r="AZ82" s="21"/>
      <c r="BA82" s="21"/>
      <c r="BB82" s="21">
        <v>700</v>
      </c>
      <c r="BC82" s="21"/>
      <c r="BD82" s="21"/>
      <c r="BE82" s="21"/>
      <c r="BF82" s="16">
        <f>J82+N82+R82+V82+Z82+AD82+AH82+AL82+AP82+AT82+AX82+BB82</f>
        <v>12000</v>
      </c>
      <c r="BG82" s="16">
        <f>K82+O82+S82+W82+AA82+AE82+AI82+AM82+AQ82+AU82+AY82+BC82</f>
        <v>0</v>
      </c>
      <c r="BH82" s="16">
        <f>L82+P82+T82+X82+AB82+AF82+AJ82+AN82+AR82+AV82+AZ82+BD82</f>
        <v>0</v>
      </c>
      <c r="BI82" s="16">
        <f>M82+Q82+U82+Y82+AC82+AG82+AK82+AO82+AS82+AW82+BA82+BE82</f>
        <v>0</v>
      </c>
      <c r="BJ82" s="16"/>
      <c r="BK82" s="16"/>
      <c r="BL82" s="16"/>
      <c r="BM82" s="28">
        <f>BK82-BI82</f>
        <v>0</v>
      </c>
    </row>
    <row r="83" spans="2:65" x14ac:dyDescent="0.25">
      <c r="B83" s="14">
        <f>SUBTOTAL(3,$C$8:C83)</f>
        <v>76</v>
      </c>
      <c r="C83" s="26" t="s">
        <v>64</v>
      </c>
      <c r="D83" s="15" t="s">
        <v>104</v>
      </c>
      <c r="E83" s="15" t="s">
        <v>255</v>
      </c>
      <c r="F83" s="15" t="s">
        <v>117</v>
      </c>
      <c r="G83" s="15"/>
      <c r="H83" s="15"/>
      <c r="I83" s="15"/>
      <c r="J83" s="21">
        <v>2640</v>
      </c>
      <c r="K83" s="21">
        <v>378</v>
      </c>
      <c r="L83" s="21"/>
      <c r="M83" s="21"/>
      <c r="N83" s="21">
        <v>2640</v>
      </c>
      <c r="O83" s="21"/>
      <c r="P83" s="21"/>
      <c r="Q83" s="21"/>
      <c r="R83" s="21">
        <v>2100</v>
      </c>
      <c r="S83" s="21">
        <v>176</v>
      </c>
      <c r="T83" s="21"/>
      <c r="U83" s="21"/>
      <c r="V83" s="21">
        <v>2400</v>
      </c>
      <c r="W83" s="21"/>
      <c r="X83" s="21">
        <v>0</v>
      </c>
      <c r="Y83" s="21"/>
      <c r="Z83" s="21">
        <v>2700</v>
      </c>
      <c r="AA83" s="21"/>
      <c r="AB83" s="21"/>
      <c r="AC83" s="21"/>
      <c r="AD83" s="21">
        <v>2700</v>
      </c>
      <c r="AE83" s="21"/>
      <c r="AF83" s="21"/>
      <c r="AG83" s="21"/>
      <c r="AH83" s="21">
        <v>2700</v>
      </c>
      <c r="AI83" s="21"/>
      <c r="AJ83" s="21"/>
      <c r="AK83" s="21"/>
      <c r="AL83" s="21">
        <v>2700</v>
      </c>
      <c r="AM83" s="21"/>
      <c r="AN83" s="21"/>
      <c r="AO83" s="21"/>
      <c r="AP83" s="21">
        <v>2700</v>
      </c>
      <c r="AQ83" s="21"/>
      <c r="AR83" s="21"/>
      <c r="AS83" s="21"/>
      <c r="AT83" s="21">
        <v>2550</v>
      </c>
      <c r="AU83" s="21"/>
      <c r="AV83" s="21"/>
      <c r="AW83" s="21"/>
      <c r="AX83" s="21">
        <v>2400</v>
      </c>
      <c r="AY83" s="21"/>
      <c r="AZ83" s="21"/>
      <c r="BA83" s="21"/>
      <c r="BB83" s="21">
        <v>1770</v>
      </c>
      <c r="BC83" s="21"/>
      <c r="BD83" s="21"/>
      <c r="BE83" s="21"/>
      <c r="BF83" s="16">
        <f>J83+N83+R83+V83+Z83+AD83+AH83+AL83+AP83+AT83+AX83+BB83</f>
        <v>30000</v>
      </c>
      <c r="BG83" s="16">
        <f>K83+O83+S83+W83+AA83+AE83+AI83+AM83+AQ83+AU83+AY83+BC83</f>
        <v>554</v>
      </c>
      <c r="BH83" s="16">
        <f>L83+P83+T83+X83+AB83+AF83+AJ83+AN83+AR83+AV83+AZ83+BD83</f>
        <v>0</v>
      </c>
      <c r="BI83" s="16">
        <f>M83+Q83+U83+Y83+AC83+AG83+AK83+AO83+AS83+AW83+BA83+BE83</f>
        <v>0</v>
      </c>
      <c r="BJ83" s="16"/>
      <c r="BK83" s="16"/>
      <c r="BL83" s="16"/>
      <c r="BM83" s="28">
        <f>BK83-BI83</f>
        <v>0</v>
      </c>
    </row>
    <row r="84" spans="2:65" x14ac:dyDescent="0.25">
      <c r="B84" s="14">
        <f>SUBTOTAL(3,$C$8:C84)</f>
        <v>77</v>
      </c>
      <c r="C84" s="26" t="s">
        <v>119</v>
      </c>
      <c r="D84" s="15" t="s">
        <v>11</v>
      </c>
      <c r="E84" s="15" t="s">
        <v>227</v>
      </c>
      <c r="F84" s="15" t="s">
        <v>29</v>
      </c>
      <c r="G84" s="15" t="s">
        <v>166</v>
      </c>
      <c r="H84" s="15" t="s">
        <v>195</v>
      </c>
      <c r="I84" s="15" t="s">
        <v>203</v>
      </c>
      <c r="J84" s="21">
        <v>1170</v>
      </c>
      <c r="K84" s="21">
        <v>161</v>
      </c>
      <c r="L84" s="21"/>
      <c r="M84" s="21"/>
      <c r="N84" s="21">
        <v>1170</v>
      </c>
      <c r="O84" s="21"/>
      <c r="P84" s="21"/>
      <c r="Q84" s="21"/>
      <c r="R84" s="21">
        <v>930</v>
      </c>
      <c r="S84" s="21">
        <v>750</v>
      </c>
      <c r="T84" s="21"/>
      <c r="U84" s="21"/>
      <c r="V84" s="21">
        <v>1060</v>
      </c>
      <c r="W84" s="21"/>
      <c r="X84" s="21">
        <v>0</v>
      </c>
      <c r="Y84" s="21"/>
      <c r="Z84" s="21">
        <v>1190</v>
      </c>
      <c r="AA84" s="21"/>
      <c r="AB84" s="21">
        <v>500</v>
      </c>
      <c r="AC84" s="21"/>
      <c r="AD84" s="21">
        <v>1190</v>
      </c>
      <c r="AE84" s="21"/>
      <c r="AF84" s="21">
        <v>500</v>
      </c>
      <c r="AG84" s="21"/>
      <c r="AH84" s="21">
        <v>1190</v>
      </c>
      <c r="AI84" s="21"/>
      <c r="AJ84" s="21">
        <v>500</v>
      </c>
      <c r="AK84" s="21"/>
      <c r="AL84" s="21">
        <v>1190</v>
      </c>
      <c r="AM84" s="21"/>
      <c r="AN84" s="21">
        <v>500</v>
      </c>
      <c r="AO84" s="21"/>
      <c r="AP84" s="21">
        <v>1190</v>
      </c>
      <c r="AQ84" s="21"/>
      <c r="AR84" s="21">
        <v>500</v>
      </c>
      <c r="AS84" s="21"/>
      <c r="AT84" s="21">
        <v>1130</v>
      </c>
      <c r="AU84" s="21"/>
      <c r="AV84" s="21">
        <v>500</v>
      </c>
      <c r="AW84" s="21"/>
      <c r="AX84" s="21">
        <v>1060</v>
      </c>
      <c r="AY84" s="21"/>
      <c r="AZ84" s="21">
        <v>500</v>
      </c>
      <c r="BA84" s="21"/>
      <c r="BB84" s="21">
        <v>730</v>
      </c>
      <c r="BC84" s="21"/>
      <c r="BD84" s="21"/>
      <c r="BE84" s="21"/>
      <c r="BF84" s="16">
        <f>J84+N84+R84+V84+Z84+AD84+AH84+AL84+AP84+AT84+AX84+BB84</f>
        <v>13200</v>
      </c>
      <c r="BG84" s="16">
        <f>K84+O84+S84+W84+AA84+AE84+AI84+AM84+AQ84+AU84+AY84+BC84</f>
        <v>911</v>
      </c>
      <c r="BH84" s="16">
        <f>L84+P84+T84+X84+AB84+AF84+AJ84+AN84+AR84+AV84+AZ84+BD84</f>
        <v>3500</v>
      </c>
      <c r="BI84" s="16">
        <f>M84+Q84+U84+Y84+AC84+AG84+AK84+AO84+AS84+AW84+BA84+BE84</f>
        <v>0</v>
      </c>
      <c r="BJ84" s="16">
        <v>5000</v>
      </c>
      <c r="BK84" s="16">
        <v>3500</v>
      </c>
      <c r="BL84" s="16">
        <v>3000</v>
      </c>
      <c r="BM84" s="28">
        <f>BK84-BI84</f>
        <v>3500</v>
      </c>
    </row>
    <row r="85" spans="2:65" x14ac:dyDescent="0.25">
      <c r="B85" s="14">
        <f>SUBTOTAL(3,$C$8:C85)</f>
        <v>78</v>
      </c>
      <c r="C85" s="26" t="s">
        <v>64</v>
      </c>
      <c r="D85" s="15" t="s">
        <v>107</v>
      </c>
      <c r="E85" s="15" t="s">
        <v>309</v>
      </c>
      <c r="F85" s="15" t="s">
        <v>117</v>
      </c>
      <c r="G85" s="15"/>
      <c r="H85" s="15"/>
      <c r="I85" s="15"/>
      <c r="J85" s="21">
        <v>1750</v>
      </c>
      <c r="K85" s="21"/>
      <c r="L85" s="21"/>
      <c r="M85" s="21"/>
      <c r="N85" s="21">
        <v>1750</v>
      </c>
      <c r="O85" s="21"/>
      <c r="P85" s="21"/>
      <c r="Q85" s="21"/>
      <c r="R85" s="21">
        <v>1390</v>
      </c>
      <c r="S85" s="21"/>
      <c r="T85" s="21"/>
      <c r="U85" s="21"/>
      <c r="V85" s="21">
        <v>1590</v>
      </c>
      <c r="W85" s="21"/>
      <c r="X85" s="21"/>
      <c r="Y85" s="21"/>
      <c r="Z85" s="21">
        <v>1790</v>
      </c>
      <c r="AA85" s="21"/>
      <c r="AB85" s="21"/>
      <c r="AC85" s="21"/>
      <c r="AD85" s="21">
        <v>1790</v>
      </c>
      <c r="AE85" s="21"/>
      <c r="AF85" s="21"/>
      <c r="AG85" s="21"/>
      <c r="AH85" s="21">
        <v>1790</v>
      </c>
      <c r="AI85" s="21"/>
      <c r="AJ85" s="21"/>
      <c r="AK85" s="21"/>
      <c r="AL85" s="21">
        <v>1790</v>
      </c>
      <c r="AM85" s="21"/>
      <c r="AN85" s="21"/>
      <c r="AO85" s="21"/>
      <c r="AP85" s="21">
        <v>1790</v>
      </c>
      <c r="AQ85" s="21"/>
      <c r="AR85" s="21"/>
      <c r="AS85" s="21"/>
      <c r="AT85" s="21">
        <v>1690</v>
      </c>
      <c r="AU85" s="21"/>
      <c r="AV85" s="21"/>
      <c r="AW85" s="21"/>
      <c r="AX85" s="21">
        <v>1590</v>
      </c>
      <c r="AY85" s="21"/>
      <c r="AZ85" s="21"/>
      <c r="BA85" s="21"/>
      <c r="BB85" s="21">
        <v>1090</v>
      </c>
      <c r="BC85" s="21"/>
      <c r="BD85" s="21"/>
      <c r="BE85" s="21"/>
      <c r="BF85" s="16">
        <f>J85+N85+R85+V85+Z85+AD85+AH85+AL85+AP85+AT85+AX85+BB85</f>
        <v>19800</v>
      </c>
      <c r="BG85" s="16">
        <f>K85+O85+S85+W85+AA85+AE85+AI85+AM85+AQ85+AU85+AY85+BC85</f>
        <v>0</v>
      </c>
      <c r="BH85" s="16">
        <f>L85+P85+T85+X85+AB85+AF85+AJ85+AN85+AR85+AV85+AZ85+BD85</f>
        <v>0</v>
      </c>
      <c r="BI85" s="16">
        <f>M85+Q85+U85+Y85+AC85+AG85+AK85+AO85+AS85+AW85+BA85+BE85</f>
        <v>0</v>
      </c>
      <c r="BJ85" s="16"/>
      <c r="BK85" s="16"/>
      <c r="BL85" s="16"/>
      <c r="BM85" s="28">
        <f>BK85-BI85</f>
        <v>0</v>
      </c>
    </row>
    <row r="86" spans="2:65" x14ac:dyDescent="0.25">
      <c r="B86" s="14">
        <f>SUBTOTAL(3,$C$8:C86)</f>
        <v>79</v>
      </c>
      <c r="C86" s="26" t="s">
        <v>64</v>
      </c>
      <c r="D86" s="15" t="s">
        <v>104</v>
      </c>
      <c r="E86" s="15" t="s">
        <v>257</v>
      </c>
      <c r="F86" s="15" t="s">
        <v>117</v>
      </c>
      <c r="G86" s="15" t="s">
        <v>166</v>
      </c>
      <c r="H86" s="15" t="s">
        <v>139</v>
      </c>
      <c r="I86" s="15"/>
      <c r="J86" s="21">
        <v>3170</v>
      </c>
      <c r="K86" s="21">
        <v>2924</v>
      </c>
      <c r="L86" s="21"/>
      <c r="M86" s="21">
        <v>0</v>
      </c>
      <c r="N86" s="21">
        <v>3170</v>
      </c>
      <c r="O86" s="21">
        <v>2082</v>
      </c>
      <c r="P86" s="21"/>
      <c r="Q86" s="21">
        <v>635</v>
      </c>
      <c r="R86" s="21">
        <v>2520</v>
      </c>
      <c r="S86" s="21">
        <v>823</v>
      </c>
      <c r="T86" s="21"/>
      <c r="U86" s="21">
        <v>124</v>
      </c>
      <c r="V86" s="21">
        <v>2880</v>
      </c>
      <c r="W86" s="21"/>
      <c r="X86" s="21">
        <v>918</v>
      </c>
      <c r="Y86" s="21"/>
      <c r="Z86" s="21">
        <v>3240</v>
      </c>
      <c r="AA86" s="21"/>
      <c r="AB86" s="21">
        <v>1000</v>
      </c>
      <c r="AC86" s="21"/>
      <c r="AD86" s="21">
        <v>3240</v>
      </c>
      <c r="AE86" s="21"/>
      <c r="AF86" s="21">
        <v>1500</v>
      </c>
      <c r="AG86" s="21"/>
      <c r="AH86" s="21">
        <v>3240</v>
      </c>
      <c r="AI86" s="21"/>
      <c r="AJ86" s="21">
        <v>1500</v>
      </c>
      <c r="AK86" s="21"/>
      <c r="AL86" s="21">
        <v>3240</v>
      </c>
      <c r="AM86" s="21"/>
      <c r="AN86" s="21">
        <v>1500</v>
      </c>
      <c r="AO86" s="21"/>
      <c r="AP86" s="21">
        <v>3240</v>
      </c>
      <c r="AQ86" s="21"/>
      <c r="AR86" s="21">
        <v>1500</v>
      </c>
      <c r="AS86" s="21"/>
      <c r="AT86" s="21">
        <v>3060</v>
      </c>
      <c r="AU86" s="21"/>
      <c r="AV86" s="21">
        <v>1000</v>
      </c>
      <c r="AW86" s="21"/>
      <c r="AX86" s="21">
        <v>2880</v>
      </c>
      <c r="AY86" s="21"/>
      <c r="AZ86" s="21">
        <v>1300</v>
      </c>
      <c r="BA86" s="21"/>
      <c r="BB86" s="21">
        <v>2120</v>
      </c>
      <c r="BC86" s="21"/>
      <c r="BD86" s="21"/>
      <c r="BE86" s="21"/>
      <c r="BF86" s="16">
        <f>J86+N86+R86+V86+Z86+AD86+AH86+AL86+AP86+AT86+AX86+BB86</f>
        <v>36000</v>
      </c>
      <c r="BG86" s="16">
        <f>K86+O86+S86+W86+AA86+AE86+AI86+AM86+AQ86+AU86+AY86+BC86</f>
        <v>5829</v>
      </c>
      <c r="BH86" s="16">
        <f>L86+P86+T86+X86+AB86+AF86+AJ86+AN86+AR86+AV86+AZ86+BD86</f>
        <v>10218</v>
      </c>
      <c r="BI86" s="16">
        <f>M86+Q86+U86+Y86+AC86+AG86+AK86+AO86+AS86+AW86+BA86+BE86</f>
        <v>759</v>
      </c>
      <c r="BJ86" s="16">
        <v>15000</v>
      </c>
      <c r="BK86" s="16">
        <v>10000</v>
      </c>
      <c r="BL86" s="16">
        <v>7000</v>
      </c>
      <c r="BM86" s="28">
        <f>BK86-BI86</f>
        <v>9241</v>
      </c>
    </row>
    <row r="87" spans="2:65" x14ac:dyDescent="0.25">
      <c r="B87" s="14">
        <f>SUBTOTAL(3,$C$8:C87)</f>
        <v>80</v>
      </c>
      <c r="C87" s="26" t="s">
        <v>63</v>
      </c>
      <c r="D87" s="15" t="s">
        <v>142</v>
      </c>
      <c r="E87" s="15" t="s">
        <v>310</v>
      </c>
      <c r="F87" s="15" t="s">
        <v>116</v>
      </c>
      <c r="G87" s="15"/>
      <c r="H87" s="15"/>
      <c r="I87" s="15"/>
      <c r="J87" s="21">
        <v>2010</v>
      </c>
      <c r="K87" s="21"/>
      <c r="L87" s="21"/>
      <c r="M87" s="21"/>
      <c r="N87" s="21">
        <v>2010</v>
      </c>
      <c r="O87" s="21"/>
      <c r="P87" s="21"/>
      <c r="Q87" s="21"/>
      <c r="R87" s="21">
        <v>1600</v>
      </c>
      <c r="S87" s="21"/>
      <c r="T87" s="21"/>
      <c r="U87" s="21"/>
      <c r="V87" s="21">
        <v>1830</v>
      </c>
      <c r="W87" s="21"/>
      <c r="X87" s="21"/>
      <c r="Y87" s="21"/>
      <c r="Z87" s="21">
        <v>2060</v>
      </c>
      <c r="AA87" s="21"/>
      <c r="AB87" s="21"/>
      <c r="AC87" s="21"/>
      <c r="AD87" s="21">
        <v>2060</v>
      </c>
      <c r="AE87" s="21"/>
      <c r="AF87" s="21"/>
      <c r="AG87" s="21"/>
      <c r="AH87" s="21">
        <v>2060</v>
      </c>
      <c r="AI87" s="21"/>
      <c r="AJ87" s="21"/>
      <c r="AK87" s="21"/>
      <c r="AL87" s="21">
        <v>2060</v>
      </c>
      <c r="AM87" s="21"/>
      <c r="AN87" s="21"/>
      <c r="AO87" s="21"/>
      <c r="AP87" s="21">
        <v>2060</v>
      </c>
      <c r="AQ87" s="21"/>
      <c r="AR87" s="21"/>
      <c r="AS87" s="21"/>
      <c r="AT87" s="21">
        <v>1940</v>
      </c>
      <c r="AU87" s="21"/>
      <c r="AV87" s="21"/>
      <c r="AW87" s="21"/>
      <c r="AX87" s="21">
        <v>1830</v>
      </c>
      <c r="AY87" s="21"/>
      <c r="AZ87" s="21"/>
      <c r="BA87" s="21"/>
      <c r="BB87" s="21">
        <v>1280</v>
      </c>
      <c r="BC87" s="21"/>
      <c r="BD87" s="21"/>
      <c r="BE87" s="21"/>
      <c r="BF87" s="16">
        <f>J87+N87+R87+V87+Z87+AD87+AH87+AL87+AP87+AT87+AX87+BB87</f>
        <v>22800</v>
      </c>
      <c r="BG87" s="16">
        <f>K87+O87+S87+W87+AA87+AE87+AI87+AM87+AQ87+AU87+AY87+BC87</f>
        <v>0</v>
      </c>
      <c r="BH87" s="16">
        <f>L87+P87+T87+X87+AB87+AF87+AJ87+AN87+AR87+AV87+AZ87+BD87</f>
        <v>0</v>
      </c>
      <c r="BI87" s="16">
        <f>M87+Q87+U87+Y87+AC87+AG87+AK87+AO87+AS87+AW87+BA87+BE87</f>
        <v>0</v>
      </c>
      <c r="BJ87" s="16"/>
      <c r="BK87" s="16"/>
      <c r="BL87" s="16"/>
      <c r="BM87" s="28">
        <f>BK87-BI87</f>
        <v>0</v>
      </c>
    </row>
    <row r="88" spans="2:65" x14ac:dyDescent="0.25">
      <c r="B88" s="14">
        <f>SUBTOTAL(3,$C$8:C88)</f>
        <v>81</v>
      </c>
      <c r="C88" s="26" t="s">
        <v>119</v>
      </c>
      <c r="D88" s="15" t="s">
        <v>31</v>
      </c>
      <c r="E88" s="15" t="s">
        <v>243</v>
      </c>
      <c r="F88" s="15" t="s">
        <v>33</v>
      </c>
      <c r="G88" s="15" t="s">
        <v>166</v>
      </c>
      <c r="H88" s="15" t="s">
        <v>170</v>
      </c>
      <c r="I88" s="15" t="s">
        <v>171</v>
      </c>
      <c r="J88" s="21">
        <v>880</v>
      </c>
      <c r="K88" s="21">
        <v>985</v>
      </c>
      <c r="L88" s="21"/>
      <c r="M88" s="21">
        <v>0</v>
      </c>
      <c r="N88" s="21">
        <v>880</v>
      </c>
      <c r="O88" s="21">
        <v>1818</v>
      </c>
      <c r="P88" s="21"/>
      <c r="Q88" s="21">
        <v>378</v>
      </c>
      <c r="R88" s="21">
        <v>700</v>
      </c>
      <c r="S88" s="21">
        <v>3548</v>
      </c>
      <c r="T88" s="21"/>
      <c r="U88" s="21">
        <v>0</v>
      </c>
      <c r="V88" s="21">
        <v>800</v>
      </c>
      <c r="W88" s="21"/>
      <c r="X88" s="21">
        <v>0</v>
      </c>
      <c r="Y88" s="21"/>
      <c r="Z88" s="21">
        <v>900</v>
      </c>
      <c r="AA88" s="21"/>
      <c r="AB88" s="21">
        <v>500</v>
      </c>
      <c r="AC88" s="21"/>
      <c r="AD88" s="21">
        <v>900</v>
      </c>
      <c r="AE88" s="21"/>
      <c r="AF88" s="21">
        <v>500</v>
      </c>
      <c r="AG88" s="21"/>
      <c r="AH88" s="21">
        <v>900</v>
      </c>
      <c r="AI88" s="21"/>
      <c r="AJ88" s="21">
        <v>500</v>
      </c>
      <c r="AK88" s="21"/>
      <c r="AL88" s="21">
        <v>900</v>
      </c>
      <c r="AM88" s="21"/>
      <c r="AN88" s="21">
        <v>500</v>
      </c>
      <c r="AO88" s="21"/>
      <c r="AP88" s="21">
        <v>900</v>
      </c>
      <c r="AQ88" s="21"/>
      <c r="AR88" s="21">
        <v>500</v>
      </c>
      <c r="AS88" s="21"/>
      <c r="AT88" s="21">
        <v>850</v>
      </c>
      <c r="AU88" s="21"/>
      <c r="AV88" s="21">
        <v>500</v>
      </c>
      <c r="AW88" s="21"/>
      <c r="AX88" s="21">
        <v>800</v>
      </c>
      <c r="AY88" s="21"/>
      <c r="AZ88" s="21">
        <v>500</v>
      </c>
      <c r="BA88" s="21"/>
      <c r="BB88" s="21">
        <v>490</v>
      </c>
      <c r="BC88" s="21"/>
      <c r="BD88" s="21"/>
      <c r="BE88" s="21"/>
      <c r="BF88" s="16">
        <f>J88+N88+R88+V88+Z88+AD88+AH88+AL88+AP88+AT88+AX88+BB88</f>
        <v>9900</v>
      </c>
      <c r="BG88" s="16">
        <f>K88+O88+S88+W88+AA88+AE88+AI88+AM88+AQ88+AU88+AY88+BC88</f>
        <v>6351</v>
      </c>
      <c r="BH88" s="16">
        <f>L88+P88+T88+X88+AB88+AF88+AJ88+AN88+AR88+AV88+AZ88+BD88</f>
        <v>3500</v>
      </c>
      <c r="BI88" s="16">
        <f>M88+Q88+U88+Y88+AC88+AG88+AK88+AO88+AS88+AW88+BA88+BE88</f>
        <v>378</v>
      </c>
      <c r="BJ88" s="16">
        <v>7500</v>
      </c>
      <c r="BK88" s="16">
        <v>5000</v>
      </c>
      <c r="BL88" s="16">
        <v>3000</v>
      </c>
      <c r="BM88" s="28">
        <f>BK88-BI88</f>
        <v>4622</v>
      </c>
    </row>
    <row r="89" spans="2:65" x14ac:dyDescent="0.25">
      <c r="B89" s="14">
        <f>SUBTOTAL(3,$C$8:C89)</f>
        <v>82</v>
      </c>
      <c r="C89" s="26" t="s">
        <v>119</v>
      </c>
      <c r="D89" s="15" t="s">
        <v>11</v>
      </c>
      <c r="E89" s="15" t="s">
        <v>212</v>
      </c>
      <c r="F89" s="15" t="s">
        <v>29</v>
      </c>
      <c r="G89" s="15" t="s">
        <v>166</v>
      </c>
      <c r="H89" s="15" t="s">
        <v>195</v>
      </c>
      <c r="I89" s="15" t="s">
        <v>197</v>
      </c>
      <c r="J89" s="21">
        <v>2120</v>
      </c>
      <c r="K89" s="21">
        <v>991</v>
      </c>
      <c r="L89" s="21"/>
      <c r="M89" s="21">
        <v>0</v>
      </c>
      <c r="N89" s="21">
        <v>2120</v>
      </c>
      <c r="O89" s="21">
        <v>2386</v>
      </c>
      <c r="P89" s="21"/>
      <c r="Q89" s="21">
        <v>968</v>
      </c>
      <c r="R89" s="21">
        <v>1680</v>
      </c>
      <c r="S89" s="21">
        <v>1401</v>
      </c>
      <c r="T89" s="21"/>
      <c r="U89" s="21">
        <v>416</v>
      </c>
      <c r="V89" s="21">
        <v>1920</v>
      </c>
      <c r="W89" s="21"/>
      <c r="X89" s="21">
        <v>0</v>
      </c>
      <c r="Y89" s="21"/>
      <c r="Z89" s="21">
        <v>2160</v>
      </c>
      <c r="AA89" s="21"/>
      <c r="AB89" s="21">
        <v>1500</v>
      </c>
      <c r="AC89" s="21"/>
      <c r="AD89" s="21">
        <v>2160</v>
      </c>
      <c r="AE89" s="21"/>
      <c r="AF89" s="21">
        <v>1500</v>
      </c>
      <c r="AG89" s="21"/>
      <c r="AH89" s="21">
        <v>2160</v>
      </c>
      <c r="AI89" s="21"/>
      <c r="AJ89" s="21">
        <v>2000</v>
      </c>
      <c r="AK89" s="21"/>
      <c r="AL89" s="21">
        <v>2160</v>
      </c>
      <c r="AM89" s="21"/>
      <c r="AN89" s="21">
        <v>2000</v>
      </c>
      <c r="AO89" s="21"/>
      <c r="AP89" s="21">
        <v>2160</v>
      </c>
      <c r="AQ89" s="21"/>
      <c r="AR89" s="21">
        <v>1500</v>
      </c>
      <c r="AS89" s="21"/>
      <c r="AT89" s="21">
        <v>2040</v>
      </c>
      <c r="AU89" s="21"/>
      <c r="AV89" s="21">
        <v>2000</v>
      </c>
      <c r="AW89" s="21"/>
      <c r="AX89" s="21">
        <v>1920</v>
      </c>
      <c r="AY89" s="21"/>
      <c r="AZ89" s="21">
        <v>2000</v>
      </c>
      <c r="BA89" s="21"/>
      <c r="BB89" s="21">
        <v>1400</v>
      </c>
      <c r="BC89" s="21"/>
      <c r="BD89" s="21"/>
      <c r="BE89" s="21"/>
      <c r="BF89" s="16">
        <f>J89+N89+R89+V89+Z89+AD89+AH89+AL89+AP89+AT89+AX89+BB89</f>
        <v>24000</v>
      </c>
      <c r="BG89" s="16">
        <f>K89+O89+S89+W89+AA89+AE89+AI89+AM89+AQ89+AU89+AY89+BC89</f>
        <v>4778</v>
      </c>
      <c r="BH89" s="16">
        <f>L89+P89+T89+X89+AB89+AF89+AJ89+AN89+AR89+AV89+AZ89+BD89</f>
        <v>12500</v>
      </c>
      <c r="BI89" s="16">
        <f>M89+Q89+U89+Y89+AC89+AG89+AK89+AO89+AS89+AW89+BA89+BE89</f>
        <v>1384</v>
      </c>
      <c r="BJ89" s="16">
        <v>20000</v>
      </c>
      <c r="BK89" s="16">
        <v>15000</v>
      </c>
      <c r="BL89" s="16">
        <v>10000</v>
      </c>
      <c r="BM89" s="28">
        <f>BK89-BI89</f>
        <v>13616</v>
      </c>
    </row>
    <row r="90" spans="2:65" x14ac:dyDescent="0.25">
      <c r="B90" s="14">
        <f>SUBTOTAL(3,$C$8:C90)</f>
        <v>83</v>
      </c>
      <c r="C90" s="26" t="s">
        <v>119</v>
      </c>
      <c r="D90" s="15" t="s">
        <v>43</v>
      </c>
      <c r="E90" s="15" t="s">
        <v>238</v>
      </c>
      <c r="F90" s="15" t="s">
        <v>33</v>
      </c>
      <c r="G90" s="15" t="s">
        <v>166</v>
      </c>
      <c r="H90" s="15" t="s">
        <v>166</v>
      </c>
      <c r="I90" s="15" t="s">
        <v>166</v>
      </c>
      <c r="J90" s="21">
        <v>3700</v>
      </c>
      <c r="K90" s="21">
        <v>3492</v>
      </c>
      <c r="L90" s="21"/>
      <c r="M90" s="21"/>
      <c r="N90" s="21">
        <v>3700</v>
      </c>
      <c r="O90" s="21"/>
      <c r="P90" s="21"/>
      <c r="Q90" s="21"/>
      <c r="R90" s="21">
        <v>2940</v>
      </c>
      <c r="S90" s="21">
        <v>1323</v>
      </c>
      <c r="T90" s="21"/>
      <c r="U90" s="21"/>
      <c r="V90" s="21">
        <v>3360</v>
      </c>
      <c r="W90" s="21"/>
      <c r="X90" s="21"/>
      <c r="Y90" s="21"/>
      <c r="Z90" s="21">
        <v>3780</v>
      </c>
      <c r="AA90" s="21"/>
      <c r="AB90" s="21">
        <v>750</v>
      </c>
      <c r="AC90" s="21"/>
      <c r="AD90" s="21">
        <v>3780</v>
      </c>
      <c r="AE90" s="21"/>
      <c r="AF90" s="21">
        <v>1000</v>
      </c>
      <c r="AG90" s="21"/>
      <c r="AH90" s="21">
        <v>3780</v>
      </c>
      <c r="AI90" s="21"/>
      <c r="AJ90" s="21">
        <v>1500</v>
      </c>
      <c r="AK90" s="21"/>
      <c r="AL90" s="21">
        <v>3780</v>
      </c>
      <c r="AM90" s="21"/>
      <c r="AN90" s="21">
        <v>1500</v>
      </c>
      <c r="AO90" s="21"/>
      <c r="AP90" s="21">
        <v>3780</v>
      </c>
      <c r="AQ90" s="21"/>
      <c r="AR90" s="21">
        <v>1500</v>
      </c>
      <c r="AS90" s="21"/>
      <c r="AT90" s="21">
        <v>3570</v>
      </c>
      <c r="AU90" s="21"/>
      <c r="AV90" s="21">
        <v>1500</v>
      </c>
      <c r="AW90" s="21"/>
      <c r="AX90" s="21">
        <v>3360</v>
      </c>
      <c r="AY90" s="21"/>
      <c r="AZ90" s="21">
        <v>1500</v>
      </c>
      <c r="BA90" s="21"/>
      <c r="BB90" s="21">
        <v>2470</v>
      </c>
      <c r="BC90" s="21"/>
      <c r="BD90" s="21"/>
      <c r="BE90" s="21"/>
      <c r="BF90" s="16">
        <f>J90+N90+R90+V90+Z90+AD90+AH90+AL90+AP90+AT90+AX90+BB90</f>
        <v>42000</v>
      </c>
      <c r="BG90" s="16">
        <f>K90+O90+S90+W90+AA90+AE90+AI90+AM90+AQ90+AU90+AY90+BC90</f>
        <v>4815</v>
      </c>
      <c r="BH90" s="16">
        <f>L90+P90+T90+X90+AB90+AF90+AJ90+AN90+AR90+AV90+AZ90+BD90</f>
        <v>9250</v>
      </c>
      <c r="BI90" s="16">
        <f>M90+Q90+U90+Y90+AC90+AG90+AK90+AO90+AS90+AW90+BA90+BE90</f>
        <v>0</v>
      </c>
      <c r="BJ90" s="16">
        <v>15000</v>
      </c>
      <c r="BK90" s="16">
        <v>9000</v>
      </c>
      <c r="BL90" s="16">
        <v>7000</v>
      </c>
      <c r="BM90" s="28">
        <f>BK90-BI90</f>
        <v>9000</v>
      </c>
    </row>
    <row r="91" spans="2:65" x14ac:dyDescent="0.25">
      <c r="B91" s="14">
        <f>SUBTOTAL(3,$C$8:C91)</f>
        <v>84</v>
      </c>
      <c r="C91" s="26" t="s">
        <v>65</v>
      </c>
      <c r="D91" s="15" t="s">
        <v>108</v>
      </c>
      <c r="E91" s="15" t="s">
        <v>263</v>
      </c>
      <c r="F91" s="15" t="s">
        <v>118</v>
      </c>
      <c r="G91" s="15" t="s">
        <v>179</v>
      </c>
      <c r="H91" s="15" t="s">
        <v>139</v>
      </c>
      <c r="I91" s="15" t="s">
        <v>139</v>
      </c>
      <c r="J91" s="21">
        <v>3960</v>
      </c>
      <c r="K91" s="21">
        <v>3902</v>
      </c>
      <c r="L91" s="21"/>
      <c r="M91" s="21">
        <v>0</v>
      </c>
      <c r="N91" s="21">
        <v>3960</v>
      </c>
      <c r="O91" s="21">
        <v>6644</v>
      </c>
      <c r="P91" s="21"/>
      <c r="Q91" s="21">
        <v>827</v>
      </c>
      <c r="R91" s="21">
        <v>3150</v>
      </c>
      <c r="S91" s="21">
        <v>3528</v>
      </c>
      <c r="T91" s="21"/>
      <c r="U91" s="21">
        <v>364</v>
      </c>
      <c r="V91" s="21">
        <v>3600</v>
      </c>
      <c r="W91" s="21"/>
      <c r="X91" s="21">
        <v>1247</v>
      </c>
      <c r="Y91" s="21"/>
      <c r="Z91" s="21">
        <v>4050</v>
      </c>
      <c r="AA91" s="21"/>
      <c r="AB91" s="21">
        <v>1000</v>
      </c>
      <c r="AC91" s="21"/>
      <c r="AD91" s="21">
        <v>4050</v>
      </c>
      <c r="AE91" s="21"/>
      <c r="AF91" s="21">
        <v>1500</v>
      </c>
      <c r="AG91" s="21"/>
      <c r="AH91" s="21">
        <v>4050</v>
      </c>
      <c r="AI91" s="21"/>
      <c r="AJ91" s="21">
        <v>1500</v>
      </c>
      <c r="AK91" s="21"/>
      <c r="AL91" s="21">
        <v>4050</v>
      </c>
      <c r="AM91" s="21"/>
      <c r="AN91" s="21">
        <v>1500</v>
      </c>
      <c r="AO91" s="21"/>
      <c r="AP91" s="21">
        <v>4050</v>
      </c>
      <c r="AQ91" s="21"/>
      <c r="AR91" s="21">
        <v>1500</v>
      </c>
      <c r="AS91" s="21"/>
      <c r="AT91" s="21">
        <v>3830</v>
      </c>
      <c r="AU91" s="21"/>
      <c r="AV91" s="21">
        <v>1000</v>
      </c>
      <c r="AW91" s="21"/>
      <c r="AX91" s="21">
        <v>3600</v>
      </c>
      <c r="AY91" s="21"/>
      <c r="AZ91" s="21">
        <v>1000</v>
      </c>
      <c r="BA91" s="21"/>
      <c r="BB91" s="21">
        <v>2650</v>
      </c>
      <c r="BC91" s="21"/>
      <c r="BD91" s="21"/>
      <c r="BE91" s="21"/>
      <c r="BF91" s="16">
        <f>J91+N91+R91+V91+Z91+AD91+AH91+AL91+AP91+AT91+AX91+BB91</f>
        <v>45000</v>
      </c>
      <c r="BG91" s="16">
        <f>K91+O91+S91+W91+AA91+AE91+AI91+AM91+AQ91+AU91+AY91+BC91</f>
        <v>14074</v>
      </c>
      <c r="BH91" s="16">
        <f>L91+P91+T91+X91+AB91+AF91+AJ91+AN91+AR91+AV91+AZ91+BD91</f>
        <v>10247</v>
      </c>
      <c r="BI91" s="16">
        <f>M91+Q91+U91+Y91+AC91+AG91+AK91+AO91+AS91+AW91+BA91+BE91</f>
        <v>1191</v>
      </c>
      <c r="BJ91" s="16">
        <v>10000</v>
      </c>
      <c r="BK91" s="16">
        <v>5000</v>
      </c>
      <c r="BL91" s="16">
        <v>3000</v>
      </c>
      <c r="BM91" s="28">
        <f>BK91-BI91</f>
        <v>3809</v>
      </c>
    </row>
    <row r="92" spans="2:65" x14ac:dyDescent="0.25">
      <c r="B92" s="14">
        <f>SUBTOTAL(3,$C$8:C92)</f>
        <v>85</v>
      </c>
      <c r="C92" s="26" t="s">
        <v>119</v>
      </c>
      <c r="D92" s="15" t="s">
        <v>11</v>
      </c>
      <c r="E92" s="15" t="s">
        <v>220</v>
      </c>
      <c r="F92" s="15" t="s">
        <v>29</v>
      </c>
      <c r="G92" s="15" t="s">
        <v>166</v>
      </c>
      <c r="H92" s="15" t="s">
        <v>195</v>
      </c>
      <c r="I92" s="15" t="s">
        <v>199</v>
      </c>
      <c r="J92" s="21">
        <v>1150</v>
      </c>
      <c r="K92" s="21">
        <v>428</v>
      </c>
      <c r="L92" s="21"/>
      <c r="M92" s="21"/>
      <c r="N92" s="21">
        <v>1150</v>
      </c>
      <c r="O92" s="21"/>
      <c r="P92" s="21"/>
      <c r="Q92" s="21"/>
      <c r="R92" s="21">
        <v>910</v>
      </c>
      <c r="S92" s="21">
        <v>554</v>
      </c>
      <c r="T92" s="21"/>
      <c r="U92" s="21"/>
      <c r="V92" s="21">
        <v>1040</v>
      </c>
      <c r="W92" s="21"/>
      <c r="X92" s="21">
        <v>0</v>
      </c>
      <c r="Y92" s="21"/>
      <c r="Z92" s="21">
        <v>1170</v>
      </c>
      <c r="AA92" s="21"/>
      <c r="AB92" s="21">
        <v>1000</v>
      </c>
      <c r="AC92" s="21"/>
      <c r="AD92" s="21">
        <v>1170</v>
      </c>
      <c r="AE92" s="21"/>
      <c r="AF92" s="21">
        <v>1500</v>
      </c>
      <c r="AG92" s="21"/>
      <c r="AH92" s="21">
        <v>1170</v>
      </c>
      <c r="AI92" s="21"/>
      <c r="AJ92" s="21">
        <v>1500</v>
      </c>
      <c r="AK92" s="21"/>
      <c r="AL92" s="21">
        <v>1170</v>
      </c>
      <c r="AM92" s="21"/>
      <c r="AN92" s="21">
        <v>2000</v>
      </c>
      <c r="AO92" s="21"/>
      <c r="AP92" s="21">
        <v>1170</v>
      </c>
      <c r="AQ92" s="21"/>
      <c r="AR92" s="21">
        <v>2000</v>
      </c>
      <c r="AS92" s="21"/>
      <c r="AT92" s="21">
        <v>1110</v>
      </c>
      <c r="AU92" s="21"/>
      <c r="AV92" s="21">
        <v>1500</v>
      </c>
      <c r="AW92" s="21"/>
      <c r="AX92" s="21">
        <v>1040</v>
      </c>
      <c r="AY92" s="21"/>
      <c r="AZ92" s="21">
        <v>1000</v>
      </c>
      <c r="BA92" s="21"/>
      <c r="BB92" s="21">
        <v>750</v>
      </c>
      <c r="BC92" s="21"/>
      <c r="BD92" s="21"/>
      <c r="BE92" s="21"/>
      <c r="BF92" s="16">
        <f>J92+N92+R92+V92+Z92+AD92+AH92+AL92+AP92+AT92+AX92+BB92</f>
        <v>13000</v>
      </c>
      <c r="BG92" s="16">
        <f>K92+O92+S92+W92+AA92+AE92+AI92+AM92+AQ92+AU92+AY92+BC92</f>
        <v>982</v>
      </c>
      <c r="BH92" s="16">
        <f>L92+P92+T92+X92+AB92+AF92+AJ92+AN92+AR92+AV92+AZ92+BD92</f>
        <v>10500</v>
      </c>
      <c r="BI92" s="16">
        <f>M92+Q92+U92+Y92+AC92+AG92+AK92+AO92+AS92+AW92+BA92+BE92</f>
        <v>0</v>
      </c>
      <c r="BJ92" s="16">
        <v>15000</v>
      </c>
      <c r="BK92" s="16">
        <v>10000</v>
      </c>
      <c r="BL92" s="16">
        <v>5000</v>
      </c>
      <c r="BM92" s="28">
        <f>BK92-BI92</f>
        <v>10000</v>
      </c>
    </row>
    <row r="93" spans="2:65" x14ac:dyDescent="0.25">
      <c r="B93" s="14">
        <f>SUBTOTAL(3,$C$8:C93)</f>
        <v>86</v>
      </c>
      <c r="C93" s="26" t="s">
        <v>64</v>
      </c>
      <c r="D93" s="15" t="s">
        <v>103</v>
      </c>
      <c r="E93" s="15" t="s">
        <v>251</v>
      </c>
      <c r="F93" s="15" t="s">
        <v>117</v>
      </c>
      <c r="G93" s="15" t="s">
        <v>166</v>
      </c>
      <c r="H93" s="15" t="s">
        <v>168</v>
      </c>
      <c r="I93" s="15"/>
      <c r="J93" s="21">
        <v>1500</v>
      </c>
      <c r="K93" s="21">
        <v>582</v>
      </c>
      <c r="L93" s="21"/>
      <c r="M93" s="21"/>
      <c r="N93" s="21">
        <v>1500</v>
      </c>
      <c r="O93" s="21"/>
      <c r="P93" s="21"/>
      <c r="Q93" s="21"/>
      <c r="R93" s="21">
        <v>1190</v>
      </c>
      <c r="S93" s="21">
        <v>1462</v>
      </c>
      <c r="T93" s="21"/>
      <c r="U93" s="21"/>
      <c r="V93" s="21">
        <v>1360</v>
      </c>
      <c r="W93" s="21"/>
      <c r="X93" s="21"/>
      <c r="Y93" s="21"/>
      <c r="Z93" s="21">
        <v>1530</v>
      </c>
      <c r="AA93" s="21"/>
      <c r="AB93" s="21">
        <v>700</v>
      </c>
      <c r="AC93" s="21"/>
      <c r="AD93" s="21">
        <v>1530</v>
      </c>
      <c r="AE93" s="21"/>
      <c r="AF93" s="21">
        <v>700</v>
      </c>
      <c r="AG93" s="21"/>
      <c r="AH93" s="21">
        <v>1530</v>
      </c>
      <c r="AI93" s="21"/>
      <c r="AJ93" s="21">
        <v>1000</v>
      </c>
      <c r="AK93" s="21"/>
      <c r="AL93" s="21">
        <v>1530</v>
      </c>
      <c r="AM93" s="21"/>
      <c r="AN93" s="21">
        <v>1000</v>
      </c>
      <c r="AO93" s="21"/>
      <c r="AP93" s="21">
        <v>1530</v>
      </c>
      <c r="AQ93" s="21"/>
      <c r="AR93" s="21">
        <v>700</v>
      </c>
      <c r="AS93" s="21"/>
      <c r="AT93" s="21">
        <v>1450</v>
      </c>
      <c r="AU93" s="21"/>
      <c r="AV93" s="21">
        <v>700</v>
      </c>
      <c r="AW93" s="21"/>
      <c r="AX93" s="21">
        <v>1360</v>
      </c>
      <c r="AY93" s="21"/>
      <c r="AZ93" s="21">
        <v>700</v>
      </c>
      <c r="BA93" s="21"/>
      <c r="BB93" s="21">
        <v>990</v>
      </c>
      <c r="BC93" s="21"/>
      <c r="BD93" s="21"/>
      <c r="BE93" s="21"/>
      <c r="BF93" s="16">
        <f>J93+N93+R93+V93+Z93+AD93+AH93+AL93+AP93+AT93+AX93+BB93</f>
        <v>17000</v>
      </c>
      <c r="BG93" s="16">
        <f>K93+O93+S93+W93+AA93+AE93+AI93+AM93+AQ93+AU93+AY93+BC93</f>
        <v>2044</v>
      </c>
      <c r="BH93" s="16">
        <f>L93+P93+T93+X93+AB93+AF93+AJ93+AN93+AR93+AV93+AZ93+BD93</f>
        <v>5500</v>
      </c>
      <c r="BI93" s="16">
        <f>M93+Q93+U93+Y93+AC93+AG93+AK93+AO93+AS93+AW93+BA93+BE93</f>
        <v>0</v>
      </c>
      <c r="BJ93" s="16">
        <v>10000</v>
      </c>
      <c r="BK93" s="16">
        <v>5000</v>
      </c>
      <c r="BL93" s="16">
        <v>3000</v>
      </c>
      <c r="BM93" s="28">
        <f>BK93-BI93</f>
        <v>5000</v>
      </c>
    </row>
    <row r="94" spans="2:65" x14ac:dyDescent="0.25">
      <c r="B94" s="14">
        <f>SUBTOTAL(3,$C$8:C94)</f>
        <v>87</v>
      </c>
      <c r="C94" s="26" t="s">
        <v>119</v>
      </c>
      <c r="D94" s="15" t="s">
        <v>11</v>
      </c>
      <c r="E94" s="15" t="s">
        <v>213</v>
      </c>
      <c r="F94" s="15" t="s">
        <v>29</v>
      </c>
      <c r="G94" s="15" t="s">
        <v>166</v>
      </c>
      <c r="H94" s="15" t="s">
        <v>195</v>
      </c>
      <c r="I94" s="15" t="s">
        <v>182</v>
      </c>
      <c r="J94" s="21">
        <v>2200</v>
      </c>
      <c r="K94" s="21"/>
      <c r="L94" s="21"/>
      <c r="M94" s="21"/>
      <c r="N94" s="21">
        <v>2200</v>
      </c>
      <c r="O94" s="21">
        <v>163</v>
      </c>
      <c r="P94" s="21"/>
      <c r="Q94" s="21"/>
      <c r="R94" s="21">
        <v>1750</v>
      </c>
      <c r="S94" s="21">
        <v>170</v>
      </c>
      <c r="T94" s="21"/>
      <c r="U94" s="21"/>
      <c r="V94" s="21">
        <v>2000</v>
      </c>
      <c r="W94" s="21"/>
      <c r="X94" s="21">
        <v>176</v>
      </c>
      <c r="Y94" s="21"/>
      <c r="Z94" s="21">
        <v>2250</v>
      </c>
      <c r="AA94" s="21"/>
      <c r="AB94" s="21">
        <v>1500</v>
      </c>
      <c r="AC94" s="21"/>
      <c r="AD94" s="21">
        <v>2250</v>
      </c>
      <c r="AE94" s="21"/>
      <c r="AF94" s="21">
        <v>1000</v>
      </c>
      <c r="AG94" s="21"/>
      <c r="AH94" s="21">
        <v>2250</v>
      </c>
      <c r="AI94" s="21"/>
      <c r="AJ94" s="21">
        <v>1500</v>
      </c>
      <c r="AK94" s="21"/>
      <c r="AL94" s="21">
        <v>2250</v>
      </c>
      <c r="AM94" s="21"/>
      <c r="AN94" s="21">
        <v>2000</v>
      </c>
      <c r="AO94" s="21"/>
      <c r="AP94" s="21">
        <v>2250</v>
      </c>
      <c r="AQ94" s="21"/>
      <c r="AR94" s="21">
        <v>1500</v>
      </c>
      <c r="AS94" s="21"/>
      <c r="AT94" s="21">
        <v>2130</v>
      </c>
      <c r="AU94" s="21"/>
      <c r="AV94" s="21">
        <v>1500</v>
      </c>
      <c r="AW94" s="21"/>
      <c r="AX94" s="21">
        <v>2000</v>
      </c>
      <c r="AY94" s="21"/>
      <c r="AZ94" s="21">
        <v>1000</v>
      </c>
      <c r="BA94" s="21"/>
      <c r="BB94" s="21">
        <v>1470</v>
      </c>
      <c r="BC94" s="21"/>
      <c r="BD94" s="21"/>
      <c r="BE94" s="21"/>
      <c r="BF94" s="16">
        <f>J94+N94+R94+V94+Z94+AD94+AH94+AL94+AP94+AT94+AX94+BB94</f>
        <v>25000</v>
      </c>
      <c r="BG94" s="16">
        <f>K94+O94+S94+W94+AA94+AE94+AI94+AM94+AQ94+AU94+AY94+BC94</f>
        <v>333</v>
      </c>
      <c r="BH94" s="16">
        <f>L94+P94+T94+X94+AB94+AF94+AJ94+AN94+AR94+AV94+AZ94+BD94</f>
        <v>10176</v>
      </c>
      <c r="BI94" s="16">
        <f>M94+Q94+U94+Y94+AC94+AG94+AK94+AO94+AS94+AW94+BA94+BE94</f>
        <v>0</v>
      </c>
      <c r="BJ94" s="16">
        <v>15000</v>
      </c>
      <c r="BK94" s="16">
        <v>10000</v>
      </c>
      <c r="BL94" s="16">
        <v>5000</v>
      </c>
      <c r="BM94" s="28">
        <f>BK94-BI94</f>
        <v>10000</v>
      </c>
    </row>
    <row r="95" spans="2:65" x14ac:dyDescent="0.25">
      <c r="B95" s="14">
        <f>SUBTOTAL(3,$C$8:C95)</f>
        <v>88</v>
      </c>
      <c r="C95" s="26" t="s">
        <v>119</v>
      </c>
      <c r="D95" s="15" t="s">
        <v>11</v>
      </c>
      <c r="E95" s="15" t="s">
        <v>214</v>
      </c>
      <c r="F95" s="15" t="s">
        <v>29</v>
      </c>
      <c r="G95" s="15" t="s">
        <v>166</v>
      </c>
      <c r="H95" s="15" t="s">
        <v>195</v>
      </c>
      <c r="I95" s="15" t="s">
        <v>198</v>
      </c>
      <c r="J95" s="21">
        <v>2380</v>
      </c>
      <c r="K95" s="21">
        <v>254</v>
      </c>
      <c r="L95" s="21"/>
      <c r="M95" s="21">
        <v>0</v>
      </c>
      <c r="N95" s="21">
        <v>2380</v>
      </c>
      <c r="O95" s="21">
        <v>1597</v>
      </c>
      <c r="P95" s="21"/>
      <c r="Q95" s="21">
        <v>1597</v>
      </c>
      <c r="R95" s="21">
        <v>1890</v>
      </c>
      <c r="S95" s="21">
        <v>992</v>
      </c>
      <c r="T95" s="21"/>
      <c r="U95" s="21">
        <v>877</v>
      </c>
      <c r="V95" s="21">
        <v>2160</v>
      </c>
      <c r="W95" s="21"/>
      <c r="X95" s="21">
        <v>2000</v>
      </c>
      <c r="Y95" s="21"/>
      <c r="Z95" s="21">
        <v>2430</v>
      </c>
      <c r="AA95" s="21"/>
      <c r="AB95" s="21">
        <v>2000</v>
      </c>
      <c r="AC95" s="21"/>
      <c r="AD95" s="21">
        <v>2430</v>
      </c>
      <c r="AE95" s="21"/>
      <c r="AF95" s="21">
        <v>2500</v>
      </c>
      <c r="AG95" s="21"/>
      <c r="AH95" s="21">
        <v>2430</v>
      </c>
      <c r="AI95" s="21"/>
      <c r="AJ95" s="21">
        <v>3000</v>
      </c>
      <c r="AK95" s="21"/>
      <c r="AL95" s="21">
        <v>2430</v>
      </c>
      <c r="AM95" s="21"/>
      <c r="AN95" s="21">
        <v>3000</v>
      </c>
      <c r="AO95" s="21"/>
      <c r="AP95" s="21">
        <v>2430</v>
      </c>
      <c r="AQ95" s="21"/>
      <c r="AR95" s="21">
        <v>3000</v>
      </c>
      <c r="AS95" s="21"/>
      <c r="AT95" s="21">
        <v>2300</v>
      </c>
      <c r="AU95" s="21"/>
      <c r="AV95" s="21">
        <v>3000</v>
      </c>
      <c r="AW95" s="21"/>
      <c r="AX95" s="21">
        <v>2160</v>
      </c>
      <c r="AY95" s="21"/>
      <c r="AZ95" s="21">
        <v>3000</v>
      </c>
      <c r="BA95" s="21"/>
      <c r="BB95" s="21">
        <v>1580</v>
      </c>
      <c r="BC95" s="21"/>
      <c r="BD95" s="21"/>
      <c r="BE95" s="21"/>
      <c r="BF95" s="16">
        <f>J95+N95+R95+V95+Z95+AD95+AH95+AL95+AP95+AT95+AX95+BB95</f>
        <v>27000</v>
      </c>
      <c r="BG95" s="16">
        <f>K95+O95+S95+W95+AA95+AE95+AI95+AM95+AQ95+AU95+AY95+BC95</f>
        <v>2843</v>
      </c>
      <c r="BH95" s="16">
        <f>L95+P95+T95+X95+AB95+AF95+AJ95+AN95+AR95+AV95+AZ95+BD95</f>
        <v>21500</v>
      </c>
      <c r="BI95" s="16">
        <f>M95+Q95+U95+Y95+AC95+AG95+AK95+AO95+AS95+AW95+BA95+BE95</f>
        <v>2474</v>
      </c>
      <c r="BJ95" s="16">
        <v>30000</v>
      </c>
      <c r="BK95" s="16">
        <v>21000</v>
      </c>
      <c r="BL95" s="16">
        <v>15000</v>
      </c>
      <c r="BM95" s="28">
        <f>BK95-BI95</f>
        <v>18526</v>
      </c>
    </row>
    <row r="96" spans="2:65" x14ac:dyDescent="0.25">
      <c r="B96" s="14">
        <f>SUBTOTAL(3,$C$8:C96)</f>
        <v>89</v>
      </c>
      <c r="C96" s="26" t="s">
        <v>64</v>
      </c>
      <c r="D96" s="15" t="s">
        <v>107</v>
      </c>
      <c r="E96" s="15" t="s">
        <v>311</v>
      </c>
      <c r="F96" s="15" t="s">
        <v>117</v>
      </c>
      <c r="G96" s="15"/>
      <c r="H96" s="15"/>
      <c r="I96" s="15"/>
      <c r="J96" s="21">
        <v>3520</v>
      </c>
      <c r="K96" s="21"/>
      <c r="L96" s="21"/>
      <c r="M96" s="21"/>
      <c r="N96" s="21">
        <v>3520</v>
      </c>
      <c r="O96" s="21"/>
      <c r="P96" s="21"/>
      <c r="Q96" s="21"/>
      <c r="R96" s="21">
        <v>2800</v>
      </c>
      <c r="S96" s="21"/>
      <c r="T96" s="21"/>
      <c r="U96" s="21"/>
      <c r="V96" s="21">
        <v>3200</v>
      </c>
      <c r="W96" s="21"/>
      <c r="X96" s="21"/>
      <c r="Y96" s="21"/>
      <c r="Z96" s="21">
        <v>3600</v>
      </c>
      <c r="AA96" s="21"/>
      <c r="AB96" s="21"/>
      <c r="AC96" s="21"/>
      <c r="AD96" s="21">
        <v>3600</v>
      </c>
      <c r="AE96" s="21"/>
      <c r="AF96" s="21"/>
      <c r="AG96" s="21"/>
      <c r="AH96" s="21">
        <v>3600</v>
      </c>
      <c r="AI96" s="21"/>
      <c r="AJ96" s="21"/>
      <c r="AK96" s="21"/>
      <c r="AL96" s="21">
        <v>3600</v>
      </c>
      <c r="AM96" s="21"/>
      <c r="AN96" s="21"/>
      <c r="AO96" s="21"/>
      <c r="AP96" s="21">
        <v>3600</v>
      </c>
      <c r="AQ96" s="21"/>
      <c r="AR96" s="21"/>
      <c r="AS96" s="21"/>
      <c r="AT96" s="21">
        <v>3400</v>
      </c>
      <c r="AU96" s="21"/>
      <c r="AV96" s="21"/>
      <c r="AW96" s="21"/>
      <c r="AX96" s="21">
        <v>3200</v>
      </c>
      <c r="AY96" s="21"/>
      <c r="AZ96" s="21"/>
      <c r="BA96" s="21"/>
      <c r="BB96" s="21">
        <v>2360</v>
      </c>
      <c r="BC96" s="21"/>
      <c r="BD96" s="21"/>
      <c r="BE96" s="21"/>
      <c r="BF96" s="16">
        <f>J96+N96+R96+V96+Z96+AD96+AH96+AL96+AP96+AT96+AX96+BB96</f>
        <v>40000</v>
      </c>
      <c r="BG96" s="16">
        <f>K96+O96+S96+W96+AA96+AE96+AI96+AM96+AQ96+AU96+AY96+BC96</f>
        <v>0</v>
      </c>
      <c r="BH96" s="16">
        <f>L96+P96+T96+X96+AB96+AF96+AJ96+AN96+AR96+AV96+AZ96+BD96</f>
        <v>0</v>
      </c>
      <c r="BI96" s="16">
        <f>M96+Q96+U96+Y96+AC96+AG96+AK96+AO96+AS96+AW96+BA96+BE96</f>
        <v>0</v>
      </c>
      <c r="BJ96" s="16"/>
      <c r="BK96" s="16"/>
      <c r="BL96" s="16"/>
      <c r="BM96" s="28">
        <f>BK96-BI96</f>
        <v>0</v>
      </c>
    </row>
    <row r="97" spans="2:65" x14ac:dyDescent="0.25">
      <c r="B97" s="14">
        <f>SUBTOTAL(3,$C$8:C97)</f>
        <v>90</v>
      </c>
      <c r="C97" s="26" t="s">
        <v>119</v>
      </c>
      <c r="D97" s="15" t="s">
        <v>31</v>
      </c>
      <c r="E97" s="15" t="s">
        <v>236</v>
      </c>
      <c r="F97" s="15" t="s">
        <v>33</v>
      </c>
      <c r="G97" s="15" t="s">
        <v>166</v>
      </c>
      <c r="H97" s="15" t="s">
        <v>170</v>
      </c>
      <c r="I97" s="15" t="s">
        <v>171</v>
      </c>
      <c r="J97" s="21">
        <v>2120</v>
      </c>
      <c r="K97" s="21">
        <v>480</v>
      </c>
      <c r="L97" s="21"/>
      <c r="M97" s="21">
        <v>0</v>
      </c>
      <c r="N97" s="21">
        <v>2120</v>
      </c>
      <c r="O97" s="21">
        <v>1137</v>
      </c>
      <c r="P97" s="21"/>
      <c r="Q97" s="21">
        <v>860</v>
      </c>
      <c r="R97" s="21">
        <v>1680</v>
      </c>
      <c r="S97" s="21">
        <v>1208</v>
      </c>
      <c r="T97" s="21"/>
      <c r="U97" s="21">
        <v>589</v>
      </c>
      <c r="V97" s="21">
        <v>1920</v>
      </c>
      <c r="W97" s="21"/>
      <c r="X97" s="21">
        <v>1372</v>
      </c>
      <c r="Y97" s="21"/>
      <c r="Z97" s="21">
        <v>2160</v>
      </c>
      <c r="AA97" s="21"/>
      <c r="AB97" s="21">
        <v>1500</v>
      </c>
      <c r="AC97" s="21"/>
      <c r="AD97" s="21">
        <v>2160</v>
      </c>
      <c r="AE97" s="21"/>
      <c r="AF97" s="21">
        <v>2000</v>
      </c>
      <c r="AG97" s="21"/>
      <c r="AH97" s="21">
        <v>2160</v>
      </c>
      <c r="AI97" s="21"/>
      <c r="AJ97" s="21">
        <v>2000</v>
      </c>
      <c r="AK97" s="21"/>
      <c r="AL97" s="21">
        <v>2160</v>
      </c>
      <c r="AM97" s="21"/>
      <c r="AN97" s="21">
        <v>2500</v>
      </c>
      <c r="AO97" s="21"/>
      <c r="AP97" s="21">
        <v>2160</v>
      </c>
      <c r="AQ97" s="21"/>
      <c r="AR97" s="21">
        <v>2500</v>
      </c>
      <c r="AS97" s="21"/>
      <c r="AT97" s="21">
        <v>2040</v>
      </c>
      <c r="AU97" s="21"/>
      <c r="AV97" s="21">
        <v>2000</v>
      </c>
      <c r="AW97" s="21"/>
      <c r="AX97" s="21">
        <v>1920</v>
      </c>
      <c r="AY97" s="21"/>
      <c r="AZ97" s="21">
        <v>2000</v>
      </c>
      <c r="BA97" s="21"/>
      <c r="BB97" s="21">
        <v>1400</v>
      </c>
      <c r="BC97" s="21"/>
      <c r="BD97" s="21"/>
      <c r="BE97" s="21"/>
      <c r="BF97" s="16">
        <f>J97+N97+R97+V97+Z97+AD97+AH97+AL97+AP97+AT97+AX97+BB97</f>
        <v>24000</v>
      </c>
      <c r="BG97" s="16">
        <f>K97+O97+S97+W97+AA97+AE97+AI97+AM97+AQ97+AU97+AY97+BC97</f>
        <v>2825</v>
      </c>
      <c r="BH97" s="16">
        <f>L97+P97+T97+X97+AB97+AF97+AJ97+AN97+AR97+AV97+AZ97+BD97</f>
        <v>15872</v>
      </c>
      <c r="BI97" s="16">
        <f>M97+Q97+U97+Y97+AC97+AG97+AK97+AO97+AS97+AW97+BA97+BE97</f>
        <v>1449</v>
      </c>
      <c r="BJ97" s="16">
        <v>20000</v>
      </c>
      <c r="BK97" s="16">
        <v>15000</v>
      </c>
      <c r="BL97" s="16">
        <v>10000</v>
      </c>
      <c r="BM97" s="28">
        <f>BK97-BI97</f>
        <v>13551</v>
      </c>
    </row>
    <row r="98" spans="2:65" x14ac:dyDescent="0.25">
      <c r="B98" s="14">
        <f>SUBTOTAL(3,$C$8:C98)</f>
        <v>91</v>
      </c>
      <c r="C98" s="26" t="s">
        <v>119</v>
      </c>
      <c r="D98" s="15" t="s">
        <v>11</v>
      </c>
      <c r="E98" s="15" t="s">
        <v>215</v>
      </c>
      <c r="F98" s="15" t="s">
        <v>29</v>
      </c>
      <c r="G98" s="15" t="s">
        <v>166</v>
      </c>
      <c r="H98" s="15" t="s">
        <v>195</v>
      </c>
      <c r="I98" s="15" t="s">
        <v>199</v>
      </c>
      <c r="J98" s="21">
        <v>2640</v>
      </c>
      <c r="K98" s="21"/>
      <c r="L98" s="21"/>
      <c r="M98" s="21">
        <v>0</v>
      </c>
      <c r="N98" s="21">
        <v>2640</v>
      </c>
      <c r="O98" s="21"/>
      <c r="P98" s="21"/>
      <c r="Q98" s="21">
        <v>0</v>
      </c>
      <c r="R98" s="21">
        <v>2100</v>
      </c>
      <c r="S98" s="21">
        <v>471</v>
      </c>
      <c r="T98" s="21"/>
      <c r="U98" s="21">
        <v>741</v>
      </c>
      <c r="V98" s="21">
        <v>2400</v>
      </c>
      <c r="W98" s="21"/>
      <c r="X98" s="21">
        <v>1498</v>
      </c>
      <c r="Y98" s="21"/>
      <c r="Z98" s="21">
        <v>2700</v>
      </c>
      <c r="AA98" s="21"/>
      <c r="AB98" s="21">
        <v>2000</v>
      </c>
      <c r="AC98" s="21"/>
      <c r="AD98" s="21">
        <v>2700</v>
      </c>
      <c r="AE98" s="21"/>
      <c r="AF98" s="21">
        <v>2000</v>
      </c>
      <c r="AG98" s="21"/>
      <c r="AH98" s="21">
        <v>2700</v>
      </c>
      <c r="AI98" s="21"/>
      <c r="AJ98" s="21">
        <v>2500</v>
      </c>
      <c r="AK98" s="21"/>
      <c r="AL98" s="21">
        <v>2700</v>
      </c>
      <c r="AM98" s="21"/>
      <c r="AN98" s="21">
        <v>2500</v>
      </c>
      <c r="AO98" s="21"/>
      <c r="AP98" s="21">
        <v>2700</v>
      </c>
      <c r="AQ98" s="21"/>
      <c r="AR98" s="21">
        <v>2000</v>
      </c>
      <c r="AS98" s="21"/>
      <c r="AT98" s="21">
        <v>2550</v>
      </c>
      <c r="AU98" s="21"/>
      <c r="AV98" s="21">
        <v>2000</v>
      </c>
      <c r="AW98" s="21"/>
      <c r="AX98" s="21">
        <v>2400</v>
      </c>
      <c r="AY98" s="21"/>
      <c r="AZ98" s="21">
        <v>2000</v>
      </c>
      <c r="BA98" s="21"/>
      <c r="BB98" s="21">
        <v>1770</v>
      </c>
      <c r="BC98" s="21"/>
      <c r="BD98" s="21"/>
      <c r="BE98" s="21"/>
      <c r="BF98" s="16">
        <f>J98+N98+R98+V98+Z98+AD98+AH98+AL98+AP98+AT98+AX98+BB98</f>
        <v>30000</v>
      </c>
      <c r="BG98" s="16">
        <f>K98+O98+S98+W98+AA98+AE98+AI98+AM98+AQ98+AU98+AY98+BC98</f>
        <v>471</v>
      </c>
      <c r="BH98" s="16">
        <f>L98+P98+T98+X98+AB98+AF98+AJ98+AN98+AR98+AV98+AZ98+BD98</f>
        <v>16498</v>
      </c>
      <c r="BI98" s="16">
        <f>M98+Q98+U98+Y98+AC98+AG98+AK98+AO98+AS98+AW98+BA98+BE98</f>
        <v>741</v>
      </c>
      <c r="BJ98" s="16">
        <v>20000</v>
      </c>
      <c r="BK98" s="16">
        <v>15000</v>
      </c>
      <c r="BL98" s="16">
        <v>10000</v>
      </c>
      <c r="BM98" s="28">
        <f>BK98-BI98</f>
        <v>14259</v>
      </c>
    </row>
    <row r="99" spans="2:65" x14ac:dyDescent="0.25">
      <c r="B99" s="14">
        <f>SUBTOTAL(3,$C$8:C99)</f>
        <v>92</v>
      </c>
      <c r="C99" s="26" t="s">
        <v>119</v>
      </c>
      <c r="D99" s="15" t="s">
        <v>11</v>
      </c>
      <c r="E99" s="15" t="s">
        <v>224</v>
      </c>
      <c r="F99" s="15" t="s">
        <v>29</v>
      </c>
      <c r="G99" s="15" t="s">
        <v>166</v>
      </c>
      <c r="H99" s="15" t="s">
        <v>195</v>
      </c>
      <c r="I99" s="15" t="s">
        <v>207</v>
      </c>
      <c r="J99" s="21">
        <v>1060</v>
      </c>
      <c r="K99" s="21">
        <v>164</v>
      </c>
      <c r="L99" s="21"/>
      <c r="M99" s="21"/>
      <c r="N99" s="21">
        <v>1060</v>
      </c>
      <c r="O99" s="21"/>
      <c r="P99" s="21"/>
      <c r="Q99" s="21"/>
      <c r="R99" s="21">
        <v>840</v>
      </c>
      <c r="S99" s="21">
        <v>299</v>
      </c>
      <c r="T99" s="21"/>
      <c r="U99" s="21"/>
      <c r="V99" s="21">
        <v>960</v>
      </c>
      <c r="W99" s="21"/>
      <c r="X99" s="21">
        <v>0</v>
      </c>
      <c r="Y99" s="21"/>
      <c r="Z99" s="21">
        <v>1080</v>
      </c>
      <c r="AA99" s="21"/>
      <c r="AB99" s="21">
        <v>1500</v>
      </c>
      <c r="AC99" s="21"/>
      <c r="AD99" s="21">
        <v>1080</v>
      </c>
      <c r="AE99" s="21"/>
      <c r="AF99" s="21">
        <v>1500</v>
      </c>
      <c r="AG99" s="21"/>
      <c r="AH99" s="21">
        <v>1080</v>
      </c>
      <c r="AI99" s="21"/>
      <c r="AJ99" s="21">
        <v>1500</v>
      </c>
      <c r="AK99" s="21"/>
      <c r="AL99" s="21">
        <v>1080</v>
      </c>
      <c r="AM99" s="21"/>
      <c r="AN99" s="21">
        <v>1500</v>
      </c>
      <c r="AO99" s="21"/>
      <c r="AP99" s="21">
        <v>1080</v>
      </c>
      <c r="AQ99" s="21"/>
      <c r="AR99" s="21">
        <v>1500</v>
      </c>
      <c r="AS99" s="21"/>
      <c r="AT99" s="21">
        <v>1020</v>
      </c>
      <c r="AU99" s="21"/>
      <c r="AV99" s="21">
        <v>1500</v>
      </c>
      <c r="AW99" s="21"/>
      <c r="AX99" s="21">
        <v>960</v>
      </c>
      <c r="AY99" s="21"/>
      <c r="AZ99" s="21">
        <v>1500</v>
      </c>
      <c r="BA99" s="21"/>
      <c r="BB99" s="21">
        <v>700</v>
      </c>
      <c r="BC99" s="21"/>
      <c r="BD99" s="21"/>
      <c r="BE99" s="21"/>
      <c r="BF99" s="16">
        <f>J99+N99+R99+V99+Z99+AD99+AH99+AL99+AP99+AT99+AX99+BB99</f>
        <v>12000</v>
      </c>
      <c r="BG99" s="16">
        <f>K99+O99+S99+W99+AA99+AE99+AI99+AM99+AQ99+AU99+AY99+BC99</f>
        <v>463</v>
      </c>
      <c r="BH99" s="16">
        <f>L99+P99+T99+X99+AB99+AF99+AJ99+AN99+AR99+AV99+AZ99+BD99</f>
        <v>10500</v>
      </c>
      <c r="BI99" s="16">
        <f>M99+Q99+U99+Y99+AC99+AG99+AK99+AO99+AS99+AW99+BA99+BE99</f>
        <v>0</v>
      </c>
      <c r="BJ99" s="16">
        <v>15000</v>
      </c>
      <c r="BK99" s="16">
        <v>10000</v>
      </c>
      <c r="BL99" s="16">
        <v>7500</v>
      </c>
      <c r="BM99" s="28">
        <f>BK99-BI99</f>
        <v>10000</v>
      </c>
    </row>
    <row r="100" spans="2:65" x14ac:dyDescent="0.25">
      <c r="B100" s="14">
        <f>SUBTOTAL(3,$C$8:C100)</f>
        <v>93</v>
      </c>
      <c r="C100" s="26" t="s">
        <v>119</v>
      </c>
      <c r="D100" s="15" t="s">
        <v>11</v>
      </c>
      <c r="E100" s="15" t="s">
        <v>216</v>
      </c>
      <c r="F100" s="15" t="s">
        <v>29</v>
      </c>
      <c r="G100" s="15" t="s">
        <v>166</v>
      </c>
      <c r="H100" s="15" t="s">
        <v>195</v>
      </c>
      <c r="I100" s="15" t="s">
        <v>200</v>
      </c>
      <c r="J100" s="21">
        <v>1060</v>
      </c>
      <c r="K100" s="21"/>
      <c r="L100" s="21"/>
      <c r="M100" s="21"/>
      <c r="N100" s="21">
        <v>1060</v>
      </c>
      <c r="O100" s="21"/>
      <c r="P100" s="21"/>
      <c r="Q100" s="21"/>
      <c r="R100" s="21">
        <v>840</v>
      </c>
      <c r="S100" s="21">
        <v>1715</v>
      </c>
      <c r="T100" s="21"/>
      <c r="U100" s="21"/>
      <c r="V100" s="21">
        <v>960</v>
      </c>
      <c r="W100" s="21"/>
      <c r="X100" s="21">
        <v>0</v>
      </c>
      <c r="Y100" s="21"/>
      <c r="Z100" s="21">
        <v>1080</v>
      </c>
      <c r="AA100" s="21"/>
      <c r="AB100" s="21">
        <v>1000</v>
      </c>
      <c r="AC100" s="21"/>
      <c r="AD100" s="21">
        <v>1080</v>
      </c>
      <c r="AE100" s="21"/>
      <c r="AF100" s="21">
        <v>1500</v>
      </c>
      <c r="AG100" s="21"/>
      <c r="AH100" s="21">
        <v>1080</v>
      </c>
      <c r="AI100" s="21"/>
      <c r="AJ100" s="21">
        <v>2000</v>
      </c>
      <c r="AK100" s="21"/>
      <c r="AL100" s="21">
        <v>1080</v>
      </c>
      <c r="AM100" s="21"/>
      <c r="AN100" s="21">
        <v>2000</v>
      </c>
      <c r="AO100" s="21"/>
      <c r="AP100" s="21">
        <v>1080</v>
      </c>
      <c r="AQ100" s="21"/>
      <c r="AR100" s="21">
        <v>1500</v>
      </c>
      <c r="AS100" s="21"/>
      <c r="AT100" s="21">
        <v>1020</v>
      </c>
      <c r="AU100" s="21"/>
      <c r="AV100" s="21">
        <v>1500</v>
      </c>
      <c r="AW100" s="21"/>
      <c r="AX100" s="21">
        <v>960</v>
      </c>
      <c r="AY100" s="21"/>
      <c r="AZ100" s="21">
        <v>1500</v>
      </c>
      <c r="BA100" s="21"/>
      <c r="BB100" s="21">
        <v>700</v>
      </c>
      <c r="BC100" s="21"/>
      <c r="BD100" s="21"/>
      <c r="BE100" s="21"/>
      <c r="BF100" s="16">
        <f>J100+N100+R100+V100+Z100+AD100+AH100+AL100+AP100+AT100+AX100+BB100</f>
        <v>12000</v>
      </c>
      <c r="BG100" s="16">
        <f>K100+O100+S100+W100+AA100+AE100+AI100+AM100+AQ100+AU100+AY100+BC100</f>
        <v>1715</v>
      </c>
      <c r="BH100" s="16">
        <f>L100+P100+T100+X100+AB100+AF100+AJ100+AN100+AR100+AV100+AZ100+BD100</f>
        <v>11000</v>
      </c>
      <c r="BI100" s="16">
        <f>M100+Q100+U100+Y100+AC100+AG100+AK100+AO100+AS100+AW100+BA100+BE100</f>
        <v>0</v>
      </c>
      <c r="BJ100" s="16">
        <v>15000</v>
      </c>
      <c r="BK100" s="16">
        <v>10000</v>
      </c>
      <c r="BL100" s="16">
        <v>10000</v>
      </c>
      <c r="BM100" s="28">
        <f>BK100-BI100</f>
        <v>10000</v>
      </c>
    </row>
    <row r="101" spans="2:65" x14ac:dyDescent="0.25">
      <c r="B101" s="14">
        <f>SUBTOTAL(3,$C$8:C101)</f>
        <v>94</v>
      </c>
      <c r="C101" s="26" t="s">
        <v>119</v>
      </c>
      <c r="D101" s="15" t="s">
        <v>31</v>
      </c>
      <c r="E101" s="15" t="s">
        <v>234</v>
      </c>
      <c r="F101" s="15" t="s">
        <v>33</v>
      </c>
      <c r="G101" s="15" t="s">
        <v>166</v>
      </c>
      <c r="H101" s="15" t="s">
        <v>170</v>
      </c>
      <c r="I101" s="15" t="s">
        <v>172</v>
      </c>
      <c r="J101" s="21">
        <v>1320</v>
      </c>
      <c r="K101" s="21"/>
      <c r="L101" s="21"/>
      <c r="M101" s="21"/>
      <c r="N101" s="21">
        <v>1320</v>
      </c>
      <c r="O101" s="21">
        <v>302</v>
      </c>
      <c r="P101" s="21"/>
      <c r="Q101" s="21"/>
      <c r="R101" s="21">
        <v>1050</v>
      </c>
      <c r="S101" s="21">
        <v>797</v>
      </c>
      <c r="T101" s="21"/>
      <c r="U101" s="21"/>
      <c r="V101" s="21">
        <v>1200</v>
      </c>
      <c r="W101" s="21"/>
      <c r="X101" s="21">
        <v>0</v>
      </c>
      <c r="Y101" s="21"/>
      <c r="Z101" s="21">
        <v>1350</v>
      </c>
      <c r="AA101" s="21"/>
      <c r="AB101" s="21">
        <v>1000</v>
      </c>
      <c r="AC101" s="21"/>
      <c r="AD101" s="21">
        <v>1350</v>
      </c>
      <c r="AE101" s="21"/>
      <c r="AF101" s="21">
        <v>1500</v>
      </c>
      <c r="AG101" s="21"/>
      <c r="AH101" s="21">
        <v>1350</v>
      </c>
      <c r="AI101" s="21"/>
      <c r="AJ101" s="21">
        <v>1500</v>
      </c>
      <c r="AK101" s="21"/>
      <c r="AL101" s="21">
        <v>1350</v>
      </c>
      <c r="AM101" s="21"/>
      <c r="AN101" s="21">
        <v>1000</v>
      </c>
      <c r="AO101" s="21"/>
      <c r="AP101" s="21">
        <v>1350</v>
      </c>
      <c r="AQ101" s="21"/>
      <c r="AR101" s="21">
        <v>1000</v>
      </c>
      <c r="AS101" s="21"/>
      <c r="AT101" s="21">
        <v>1280</v>
      </c>
      <c r="AU101" s="21"/>
      <c r="AV101" s="21">
        <v>1000</v>
      </c>
      <c r="AW101" s="21"/>
      <c r="AX101" s="21">
        <v>1200</v>
      </c>
      <c r="AY101" s="21"/>
      <c r="AZ101" s="21">
        <v>1000</v>
      </c>
      <c r="BA101" s="21"/>
      <c r="BB101" s="21">
        <v>880</v>
      </c>
      <c r="BC101" s="21"/>
      <c r="BD101" s="21"/>
      <c r="BE101" s="21"/>
      <c r="BF101" s="16">
        <f>J101+N101+R101+V101+Z101+AD101+AH101+AL101+AP101+AT101+AX101+BB101</f>
        <v>15000</v>
      </c>
      <c r="BG101" s="16">
        <f>K101+O101+S101+W101+AA101+AE101+AI101+AM101+AQ101+AU101+AY101+BC101</f>
        <v>1099</v>
      </c>
      <c r="BH101" s="16">
        <f>L101+P101+T101+X101+AB101+AF101+AJ101+AN101+AR101+AV101+AZ101+BD101</f>
        <v>8000</v>
      </c>
      <c r="BI101" s="16">
        <f>M101+Q101+U101+Y101+AC101+AG101+AK101+AO101+AS101+AW101+BA101+BE101</f>
        <v>0</v>
      </c>
      <c r="BJ101" s="16">
        <v>12000</v>
      </c>
      <c r="BK101" s="16">
        <v>8000</v>
      </c>
      <c r="BL101" s="16">
        <v>6000</v>
      </c>
      <c r="BM101" s="28">
        <f>BK101-BI101</f>
        <v>8000</v>
      </c>
    </row>
    <row r="102" spans="2:65" x14ac:dyDescent="0.25">
      <c r="B102" s="14">
        <f>SUBTOTAL(3,$C$8:C102)</f>
        <v>95</v>
      </c>
      <c r="C102" s="26" t="s">
        <v>119</v>
      </c>
      <c r="D102" s="15" t="s">
        <v>11</v>
      </c>
      <c r="E102" s="15" t="s">
        <v>221</v>
      </c>
      <c r="F102" s="15" t="s">
        <v>29</v>
      </c>
      <c r="G102" s="15" t="s">
        <v>166</v>
      </c>
      <c r="H102" s="15" t="s">
        <v>195</v>
      </c>
      <c r="I102" s="15" t="s">
        <v>204</v>
      </c>
      <c r="J102" s="21">
        <v>1060</v>
      </c>
      <c r="K102" s="21">
        <v>134</v>
      </c>
      <c r="L102" s="21"/>
      <c r="M102" s="21">
        <v>134</v>
      </c>
      <c r="N102" s="21">
        <v>1060</v>
      </c>
      <c r="O102" s="21">
        <v>674</v>
      </c>
      <c r="P102" s="21"/>
      <c r="Q102" s="21">
        <v>406</v>
      </c>
      <c r="R102" s="21">
        <v>840</v>
      </c>
      <c r="S102" s="21">
        <v>454</v>
      </c>
      <c r="T102" s="21"/>
      <c r="U102" s="21">
        <v>184</v>
      </c>
      <c r="V102" s="21">
        <v>960</v>
      </c>
      <c r="W102" s="21"/>
      <c r="X102" s="21">
        <v>762</v>
      </c>
      <c r="Y102" s="21"/>
      <c r="Z102" s="21">
        <v>1080</v>
      </c>
      <c r="AA102" s="21"/>
      <c r="AB102" s="21">
        <v>1500</v>
      </c>
      <c r="AC102" s="21"/>
      <c r="AD102" s="21">
        <v>1080</v>
      </c>
      <c r="AE102" s="21"/>
      <c r="AF102" s="21">
        <v>1500</v>
      </c>
      <c r="AG102" s="21"/>
      <c r="AH102" s="21">
        <v>1080</v>
      </c>
      <c r="AI102" s="21"/>
      <c r="AJ102" s="21">
        <v>1500</v>
      </c>
      <c r="AK102" s="21"/>
      <c r="AL102" s="21">
        <v>1080</v>
      </c>
      <c r="AM102" s="21"/>
      <c r="AN102" s="21">
        <v>2000</v>
      </c>
      <c r="AO102" s="21"/>
      <c r="AP102" s="21">
        <v>1080</v>
      </c>
      <c r="AQ102" s="21"/>
      <c r="AR102" s="21">
        <v>2000</v>
      </c>
      <c r="AS102" s="21"/>
      <c r="AT102" s="21">
        <v>1020</v>
      </c>
      <c r="AU102" s="21"/>
      <c r="AV102" s="21">
        <v>1500</v>
      </c>
      <c r="AW102" s="21"/>
      <c r="AX102" s="21">
        <v>960</v>
      </c>
      <c r="AY102" s="21"/>
      <c r="AZ102" s="21">
        <v>1500</v>
      </c>
      <c r="BA102" s="21"/>
      <c r="BB102" s="21">
        <v>700</v>
      </c>
      <c r="BC102" s="21"/>
      <c r="BD102" s="21"/>
      <c r="BE102" s="21"/>
      <c r="BF102" s="16">
        <f>J102+N102+R102+V102+Z102+AD102+AH102+AL102+AP102+AT102+AX102+BB102</f>
        <v>12000</v>
      </c>
      <c r="BG102" s="16">
        <f>K102+O102+S102+W102+AA102+AE102+AI102+AM102+AQ102+AU102+AY102+BC102</f>
        <v>1262</v>
      </c>
      <c r="BH102" s="16">
        <f>L102+P102+T102+X102+AB102+AF102+AJ102+AN102+AR102+AV102+AZ102+BD102</f>
        <v>12262</v>
      </c>
      <c r="BI102" s="16">
        <f>M102+Q102+U102+Y102+AC102+AG102+AK102+AO102+AS102+AW102+BA102+BE102</f>
        <v>724</v>
      </c>
      <c r="BJ102" s="16">
        <v>15000</v>
      </c>
      <c r="BK102" s="16">
        <v>12000</v>
      </c>
      <c r="BL102" s="16">
        <v>10000</v>
      </c>
      <c r="BM102" s="28">
        <f>BK102-BI102</f>
        <v>11276</v>
      </c>
    </row>
    <row r="103" spans="2:65" x14ac:dyDescent="0.25">
      <c r="B103" s="14">
        <f>SUBTOTAL(3,$C$8:C103)</f>
        <v>96</v>
      </c>
      <c r="C103" s="26" t="s">
        <v>119</v>
      </c>
      <c r="D103" s="15" t="s">
        <v>11</v>
      </c>
      <c r="E103" s="15" t="s">
        <v>226</v>
      </c>
      <c r="F103" s="15" t="s">
        <v>29</v>
      </c>
      <c r="G103" s="15" t="s">
        <v>166</v>
      </c>
      <c r="H103" s="15" t="s">
        <v>195</v>
      </c>
      <c r="I103" s="15" t="s">
        <v>196</v>
      </c>
      <c r="J103" s="21">
        <v>2640</v>
      </c>
      <c r="K103" s="21">
        <v>934</v>
      </c>
      <c r="L103" s="21"/>
      <c r="M103" s="21"/>
      <c r="N103" s="21">
        <v>2640</v>
      </c>
      <c r="O103" s="21"/>
      <c r="P103" s="21"/>
      <c r="Q103" s="21"/>
      <c r="R103" s="21">
        <v>2100</v>
      </c>
      <c r="S103" s="21">
        <v>561</v>
      </c>
      <c r="T103" s="21"/>
      <c r="U103" s="21"/>
      <c r="V103" s="21">
        <v>2400</v>
      </c>
      <c r="W103" s="21"/>
      <c r="X103" s="21"/>
      <c r="Y103" s="21"/>
      <c r="Z103" s="21">
        <v>2700</v>
      </c>
      <c r="AA103" s="21"/>
      <c r="AB103" s="21">
        <v>500</v>
      </c>
      <c r="AC103" s="21"/>
      <c r="AD103" s="21">
        <v>2700</v>
      </c>
      <c r="AE103" s="21"/>
      <c r="AF103" s="21">
        <v>1000</v>
      </c>
      <c r="AG103" s="21"/>
      <c r="AH103" s="21">
        <v>2700</v>
      </c>
      <c r="AI103" s="21"/>
      <c r="AJ103" s="21">
        <v>1500</v>
      </c>
      <c r="AK103" s="21"/>
      <c r="AL103" s="21">
        <v>2700</v>
      </c>
      <c r="AM103" s="21"/>
      <c r="AN103" s="21">
        <v>2000</v>
      </c>
      <c r="AO103" s="21"/>
      <c r="AP103" s="21">
        <v>2700</v>
      </c>
      <c r="AQ103" s="21"/>
      <c r="AR103" s="21">
        <v>1500</v>
      </c>
      <c r="AS103" s="21"/>
      <c r="AT103" s="21">
        <v>2550</v>
      </c>
      <c r="AU103" s="21"/>
      <c r="AV103" s="21">
        <v>2000</v>
      </c>
      <c r="AW103" s="21"/>
      <c r="AX103" s="21">
        <v>2400</v>
      </c>
      <c r="AY103" s="21"/>
      <c r="AZ103" s="21">
        <v>1500</v>
      </c>
      <c r="BA103" s="21"/>
      <c r="BB103" s="21">
        <v>1770</v>
      </c>
      <c r="BC103" s="21"/>
      <c r="BD103" s="21"/>
      <c r="BE103" s="21"/>
      <c r="BF103" s="16">
        <f>J103+N103+R103+V103+Z103+AD103+AH103+AL103+AP103+AT103+AX103+BB103</f>
        <v>30000</v>
      </c>
      <c r="BG103" s="16">
        <f>K103+O103+S103+W103+AA103+AE103+AI103+AM103+AQ103+AU103+AY103+BC103</f>
        <v>1495</v>
      </c>
      <c r="BH103" s="16">
        <f>L103+P103+T103+X103+AB103+AF103+AJ103+AN103+AR103+AV103+AZ103+BD103</f>
        <v>10000</v>
      </c>
      <c r="BI103" s="16">
        <f>M103+Q103+U103+Y103+AC103+AG103+AK103+AO103+AS103+AW103+BA103+BE103</f>
        <v>0</v>
      </c>
      <c r="BJ103" s="16">
        <v>15000</v>
      </c>
      <c r="BK103" s="16">
        <v>10000</v>
      </c>
      <c r="BL103" s="16">
        <v>8000</v>
      </c>
      <c r="BM103" s="28">
        <f>BK103-BI103</f>
        <v>10000</v>
      </c>
    </row>
    <row r="104" spans="2:65" x14ac:dyDescent="0.25">
      <c r="B104" s="14">
        <f>SUBTOTAL(3,$C$8:C104)</f>
        <v>97</v>
      </c>
      <c r="C104" s="26" t="s">
        <v>119</v>
      </c>
      <c r="D104" s="15" t="s">
        <v>11</v>
      </c>
      <c r="E104" s="15" t="s">
        <v>312</v>
      </c>
      <c r="F104" s="15" t="s">
        <v>29</v>
      </c>
      <c r="G104" s="15"/>
      <c r="H104" s="15"/>
      <c r="I104" s="15"/>
      <c r="J104" s="21">
        <v>1060</v>
      </c>
      <c r="K104" s="21"/>
      <c r="L104" s="21"/>
      <c r="M104" s="21"/>
      <c r="N104" s="21">
        <v>1060</v>
      </c>
      <c r="O104" s="21"/>
      <c r="P104" s="21"/>
      <c r="Q104" s="21"/>
      <c r="R104" s="21">
        <v>840</v>
      </c>
      <c r="S104" s="21"/>
      <c r="T104" s="21"/>
      <c r="U104" s="21"/>
      <c r="V104" s="21">
        <v>960</v>
      </c>
      <c r="W104" s="21"/>
      <c r="X104" s="21"/>
      <c r="Y104" s="21"/>
      <c r="Z104" s="21">
        <v>1080</v>
      </c>
      <c r="AA104" s="21"/>
      <c r="AB104" s="21"/>
      <c r="AC104" s="21"/>
      <c r="AD104" s="21">
        <v>1080</v>
      </c>
      <c r="AE104" s="21"/>
      <c r="AF104" s="21"/>
      <c r="AG104" s="21"/>
      <c r="AH104" s="21">
        <v>1080</v>
      </c>
      <c r="AI104" s="21"/>
      <c r="AJ104" s="21"/>
      <c r="AK104" s="21"/>
      <c r="AL104" s="21">
        <v>1080</v>
      </c>
      <c r="AM104" s="21"/>
      <c r="AN104" s="21"/>
      <c r="AO104" s="21"/>
      <c r="AP104" s="21">
        <v>1080</v>
      </c>
      <c r="AQ104" s="21"/>
      <c r="AR104" s="21"/>
      <c r="AS104" s="21"/>
      <c r="AT104" s="21">
        <v>1020</v>
      </c>
      <c r="AU104" s="21"/>
      <c r="AV104" s="21"/>
      <c r="AW104" s="21"/>
      <c r="AX104" s="21">
        <v>960</v>
      </c>
      <c r="AY104" s="21"/>
      <c r="AZ104" s="21"/>
      <c r="BA104" s="21"/>
      <c r="BB104" s="21">
        <v>700</v>
      </c>
      <c r="BC104" s="21"/>
      <c r="BD104" s="21"/>
      <c r="BE104" s="21"/>
      <c r="BF104" s="16">
        <f>J104+N104+R104+V104+Z104+AD104+AH104+AL104+AP104+AT104+AX104+BB104</f>
        <v>12000</v>
      </c>
      <c r="BG104" s="16">
        <f>K104+O104+S104+W104+AA104+AE104+AI104+AM104+AQ104+AU104+AY104+BC104</f>
        <v>0</v>
      </c>
      <c r="BH104" s="16">
        <f>L104+P104+T104+X104+AB104+AF104+AJ104+AN104+AR104+AV104+AZ104+BD104</f>
        <v>0</v>
      </c>
      <c r="BI104" s="16">
        <f>M104+Q104+U104+Y104+AC104+AG104+AK104+AO104+AS104+AW104+BA104+BE104</f>
        <v>0</v>
      </c>
      <c r="BJ104" s="16"/>
      <c r="BK104" s="16"/>
      <c r="BL104" s="16"/>
      <c r="BM104" s="28">
        <f>BK104-BI104</f>
        <v>0</v>
      </c>
    </row>
    <row r="105" spans="2:65" x14ac:dyDescent="0.25">
      <c r="B105" s="14">
        <f>SUBTOTAL(3,$C$8:C105)</f>
        <v>98</v>
      </c>
      <c r="C105" s="26" t="s">
        <v>119</v>
      </c>
      <c r="D105" s="15" t="s">
        <v>11</v>
      </c>
      <c r="E105" s="15" t="s">
        <v>225</v>
      </c>
      <c r="F105" s="15" t="s">
        <v>29</v>
      </c>
      <c r="G105" s="15" t="s">
        <v>166</v>
      </c>
      <c r="H105" s="15" t="s">
        <v>195</v>
      </c>
      <c r="I105" s="15" t="s">
        <v>207</v>
      </c>
      <c r="J105" s="21">
        <v>1060</v>
      </c>
      <c r="K105" s="21">
        <v>183</v>
      </c>
      <c r="L105" s="21"/>
      <c r="M105" s="21"/>
      <c r="N105" s="21">
        <v>1060</v>
      </c>
      <c r="O105" s="21"/>
      <c r="P105" s="21"/>
      <c r="Q105" s="21"/>
      <c r="R105" s="21">
        <v>840</v>
      </c>
      <c r="S105" s="21">
        <v>1391</v>
      </c>
      <c r="T105" s="21"/>
      <c r="U105" s="21"/>
      <c r="V105" s="21">
        <v>960</v>
      </c>
      <c r="W105" s="21"/>
      <c r="X105" s="21"/>
      <c r="Y105" s="21"/>
      <c r="Z105" s="21">
        <v>1080</v>
      </c>
      <c r="AA105" s="21"/>
      <c r="AB105" s="21">
        <v>500</v>
      </c>
      <c r="AC105" s="21"/>
      <c r="AD105" s="21">
        <v>1080</v>
      </c>
      <c r="AE105" s="21"/>
      <c r="AF105" s="21">
        <v>1000</v>
      </c>
      <c r="AG105" s="21"/>
      <c r="AH105" s="21">
        <v>1080</v>
      </c>
      <c r="AI105" s="21"/>
      <c r="AJ105" s="21">
        <v>1000</v>
      </c>
      <c r="AK105" s="21"/>
      <c r="AL105" s="21">
        <v>1080</v>
      </c>
      <c r="AM105" s="21"/>
      <c r="AN105" s="21">
        <v>1500</v>
      </c>
      <c r="AO105" s="21"/>
      <c r="AP105" s="21">
        <v>1080</v>
      </c>
      <c r="AQ105" s="21"/>
      <c r="AR105" s="21">
        <v>1000</v>
      </c>
      <c r="AS105" s="21"/>
      <c r="AT105" s="21">
        <v>1020</v>
      </c>
      <c r="AU105" s="21"/>
      <c r="AV105" s="21">
        <v>1500</v>
      </c>
      <c r="AW105" s="21"/>
      <c r="AX105" s="21">
        <v>960</v>
      </c>
      <c r="AY105" s="21"/>
      <c r="AZ105" s="21">
        <v>1000</v>
      </c>
      <c r="BA105" s="21"/>
      <c r="BB105" s="21">
        <v>700</v>
      </c>
      <c r="BC105" s="21"/>
      <c r="BD105" s="21"/>
      <c r="BE105" s="21"/>
      <c r="BF105" s="16">
        <f>J105+N105+R105+V105+Z105+AD105+AH105+AL105+AP105+AT105+AX105+BB105</f>
        <v>12000</v>
      </c>
      <c r="BG105" s="16">
        <f>K105+O105+S105+W105+AA105+AE105+AI105+AM105+AQ105+AU105+AY105+BC105</f>
        <v>1574</v>
      </c>
      <c r="BH105" s="16">
        <f>L105+P105+T105+X105+AB105+AF105+AJ105+AN105+AR105+AV105+AZ105+BD105</f>
        <v>7500</v>
      </c>
      <c r="BI105" s="16">
        <f>M105+Q105+U105+Y105+AC105+AG105+AK105+AO105+AS105+AW105+BA105+BE105</f>
        <v>0</v>
      </c>
      <c r="BJ105" s="16">
        <v>10000</v>
      </c>
      <c r="BK105" s="16">
        <v>7500</v>
      </c>
      <c r="BL105" s="16">
        <v>5000</v>
      </c>
      <c r="BM105" s="28">
        <f>BK105-BI105</f>
        <v>7500</v>
      </c>
    </row>
    <row r="106" spans="2:65" x14ac:dyDescent="0.25">
      <c r="B106" s="14">
        <f>SUBTOTAL(3,$C$8:C106)</f>
        <v>99</v>
      </c>
      <c r="C106" s="26" t="s">
        <v>119</v>
      </c>
      <c r="D106" s="15" t="s">
        <v>31</v>
      </c>
      <c r="E106" s="15" t="s">
        <v>235</v>
      </c>
      <c r="F106" s="15" t="s">
        <v>33</v>
      </c>
      <c r="G106" s="15" t="s">
        <v>166</v>
      </c>
      <c r="H106" s="15" t="s">
        <v>170</v>
      </c>
      <c r="I106" s="15" t="s">
        <v>172</v>
      </c>
      <c r="J106" s="21">
        <v>1060</v>
      </c>
      <c r="K106" s="21">
        <v>166</v>
      </c>
      <c r="L106" s="21"/>
      <c r="M106" s="21">
        <v>166</v>
      </c>
      <c r="N106" s="21">
        <v>1060</v>
      </c>
      <c r="O106" s="21">
        <v>2190</v>
      </c>
      <c r="P106" s="21"/>
      <c r="Q106" s="21">
        <v>330</v>
      </c>
      <c r="R106" s="21">
        <v>840</v>
      </c>
      <c r="S106" s="21">
        <v>145</v>
      </c>
      <c r="T106" s="21"/>
      <c r="U106" s="21">
        <v>0</v>
      </c>
      <c r="V106" s="21">
        <v>960</v>
      </c>
      <c r="W106" s="21"/>
      <c r="X106" s="21">
        <v>0</v>
      </c>
      <c r="Y106" s="21"/>
      <c r="Z106" s="21">
        <v>1080</v>
      </c>
      <c r="AA106" s="21"/>
      <c r="AB106" s="21">
        <v>1000</v>
      </c>
      <c r="AC106" s="21"/>
      <c r="AD106" s="21">
        <v>1080</v>
      </c>
      <c r="AE106" s="21"/>
      <c r="AF106" s="21">
        <v>1500</v>
      </c>
      <c r="AG106" s="21"/>
      <c r="AH106" s="21">
        <v>1080</v>
      </c>
      <c r="AI106" s="21"/>
      <c r="AJ106" s="21">
        <v>1500</v>
      </c>
      <c r="AK106" s="21"/>
      <c r="AL106" s="21">
        <v>1080</v>
      </c>
      <c r="AM106" s="21"/>
      <c r="AN106" s="21">
        <v>1000</v>
      </c>
      <c r="AO106" s="21"/>
      <c r="AP106" s="21">
        <v>1080</v>
      </c>
      <c r="AQ106" s="21"/>
      <c r="AR106" s="21">
        <v>1000</v>
      </c>
      <c r="AS106" s="21"/>
      <c r="AT106" s="21">
        <v>1020</v>
      </c>
      <c r="AU106" s="21"/>
      <c r="AV106" s="21">
        <v>1000</v>
      </c>
      <c r="AW106" s="21"/>
      <c r="AX106" s="21">
        <v>960</v>
      </c>
      <c r="AY106" s="21"/>
      <c r="AZ106" s="21">
        <v>1000</v>
      </c>
      <c r="BA106" s="21"/>
      <c r="BB106" s="21">
        <v>700</v>
      </c>
      <c r="BC106" s="21"/>
      <c r="BD106" s="21"/>
      <c r="BE106" s="21"/>
      <c r="BF106" s="16">
        <f>J106+N106+R106+V106+Z106+AD106+AH106+AL106+AP106+AT106+AX106+BB106</f>
        <v>12000</v>
      </c>
      <c r="BG106" s="16">
        <f>K106+O106+S106+W106+AA106+AE106+AI106+AM106+AQ106+AU106+AY106+BC106</f>
        <v>2501</v>
      </c>
      <c r="BH106" s="16">
        <f>L106+P106+T106+X106+AB106+AF106+AJ106+AN106+AR106+AV106+AZ106+BD106</f>
        <v>8000</v>
      </c>
      <c r="BI106" s="16">
        <f>M106+Q106+U106+Y106+AC106+AG106+AK106+AO106+AS106+AW106+BA106+BE106</f>
        <v>496</v>
      </c>
      <c r="BJ106" s="16">
        <v>15000</v>
      </c>
      <c r="BK106" s="16">
        <v>10000</v>
      </c>
      <c r="BL106" s="16">
        <v>7000</v>
      </c>
      <c r="BM106" s="28">
        <f>BK106-BI106</f>
        <v>9504</v>
      </c>
    </row>
    <row r="107" spans="2:65" x14ac:dyDescent="0.25">
      <c r="B107" s="14">
        <f>SUBTOTAL(3,$C$8:C107)</f>
        <v>100</v>
      </c>
      <c r="C107" s="26" t="s">
        <v>119</v>
      </c>
      <c r="D107" s="15" t="s">
        <v>11</v>
      </c>
      <c r="E107" s="15" t="s">
        <v>217</v>
      </c>
      <c r="F107" s="15" t="s">
        <v>29</v>
      </c>
      <c r="G107" s="15" t="s">
        <v>166</v>
      </c>
      <c r="H107" s="15" t="s">
        <v>195</v>
      </c>
      <c r="I107" s="15" t="s">
        <v>201</v>
      </c>
      <c r="J107" s="21">
        <v>880</v>
      </c>
      <c r="K107" s="21"/>
      <c r="L107" s="21"/>
      <c r="M107" s="21"/>
      <c r="N107" s="21">
        <v>880</v>
      </c>
      <c r="O107" s="21">
        <v>548</v>
      </c>
      <c r="P107" s="21"/>
      <c r="Q107" s="21"/>
      <c r="R107" s="21">
        <v>700</v>
      </c>
      <c r="S107" s="21">
        <v>668</v>
      </c>
      <c r="T107" s="21"/>
      <c r="U107" s="21"/>
      <c r="V107" s="21">
        <v>800</v>
      </c>
      <c r="W107" s="21"/>
      <c r="X107" s="21"/>
      <c r="Y107" s="21"/>
      <c r="Z107" s="21">
        <v>900</v>
      </c>
      <c r="AA107" s="21"/>
      <c r="AB107" s="21">
        <v>750</v>
      </c>
      <c r="AC107" s="21"/>
      <c r="AD107" s="21">
        <v>900</v>
      </c>
      <c r="AE107" s="21"/>
      <c r="AF107" s="21">
        <v>1000</v>
      </c>
      <c r="AG107" s="21"/>
      <c r="AH107" s="21">
        <v>900</v>
      </c>
      <c r="AI107" s="21"/>
      <c r="AJ107" s="21">
        <v>1000</v>
      </c>
      <c r="AK107" s="21"/>
      <c r="AL107" s="21">
        <v>900</v>
      </c>
      <c r="AM107" s="21"/>
      <c r="AN107" s="21">
        <v>1000</v>
      </c>
      <c r="AO107" s="21"/>
      <c r="AP107" s="21">
        <v>900</v>
      </c>
      <c r="AQ107" s="21"/>
      <c r="AR107" s="21">
        <v>750</v>
      </c>
      <c r="AS107" s="21"/>
      <c r="AT107" s="21">
        <v>850</v>
      </c>
      <c r="AU107" s="21"/>
      <c r="AV107" s="21">
        <v>750</v>
      </c>
      <c r="AW107" s="21"/>
      <c r="AX107" s="21">
        <v>800</v>
      </c>
      <c r="AY107" s="21"/>
      <c r="AZ107" s="21">
        <v>750</v>
      </c>
      <c r="BA107" s="21"/>
      <c r="BB107" s="21">
        <v>590</v>
      </c>
      <c r="BC107" s="21"/>
      <c r="BD107" s="21"/>
      <c r="BE107" s="21"/>
      <c r="BF107" s="16">
        <f>J107+N107+R107+V107+Z107+AD107+AH107+AL107+AP107+AT107+AX107+BB107</f>
        <v>10000</v>
      </c>
      <c r="BG107" s="16">
        <f>K107+O107+S107+W107+AA107+AE107+AI107+AM107+AQ107+AU107+AY107+BC107</f>
        <v>1216</v>
      </c>
      <c r="BH107" s="16">
        <f>L107+P107+T107+X107+AB107+AF107+AJ107+AN107+AR107+AV107+AZ107+BD107</f>
        <v>6000</v>
      </c>
      <c r="BI107" s="16">
        <f>M107+Q107+U107+Y107+AC107+AG107+AK107+AO107+AS107+AW107+BA107+BE107</f>
        <v>0</v>
      </c>
      <c r="BJ107" s="16">
        <v>8000</v>
      </c>
      <c r="BK107" s="16">
        <v>6000</v>
      </c>
      <c r="BL107" s="16">
        <v>3500</v>
      </c>
      <c r="BM107" s="28">
        <f>BK107-BI107</f>
        <v>6000</v>
      </c>
    </row>
    <row r="108" spans="2:65" x14ac:dyDescent="0.25">
      <c r="B108" s="14">
        <f>SUBTOTAL(3,$C$8:C108)</f>
        <v>101</v>
      </c>
      <c r="C108" s="26" t="s">
        <v>119</v>
      </c>
      <c r="D108" s="15" t="s">
        <v>31</v>
      </c>
      <c r="E108" s="15" t="s">
        <v>244</v>
      </c>
      <c r="F108" s="15" t="s">
        <v>33</v>
      </c>
      <c r="G108" s="15" t="s">
        <v>166</v>
      </c>
      <c r="H108" s="15" t="s">
        <v>170</v>
      </c>
      <c r="I108" s="15" t="s">
        <v>178</v>
      </c>
      <c r="J108" s="21">
        <v>1410</v>
      </c>
      <c r="K108" s="21">
        <v>1068</v>
      </c>
      <c r="L108" s="21"/>
      <c r="M108" s="21">
        <v>353</v>
      </c>
      <c r="N108" s="21">
        <v>1410</v>
      </c>
      <c r="O108" s="21">
        <v>1669</v>
      </c>
      <c r="P108" s="21"/>
      <c r="Q108" s="21">
        <v>264</v>
      </c>
      <c r="R108" s="21">
        <v>1120</v>
      </c>
      <c r="S108" s="21">
        <v>1427</v>
      </c>
      <c r="T108" s="21"/>
      <c r="U108" s="21">
        <v>0</v>
      </c>
      <c r="V108" s="21">
        <v>1280</v>
      </c>
      <c r="W108" s="21"/>
      <c r="X108" s="21">
        <v>624</v>
      </c>
      <c r="Y108" s="21"/>
      <c r="Z108" s="21">
        <v>1440</v>
      </c>
      <c r="AA108" s="21"/>
      <c r="AB108" s="21">
        <v>1500</v>
      </c>
      <c r="AC108" s="21"/>
      <c r="AD108" s="21">
        <v>1440</v>
      </c>
      <c r="AE108" s="21"/>
      <c r="AF108" s="21">
        <v>2000</v>
      </c>
      <c r="AG108" s="21"/>
      <c r="AH108" s="21">
        <v>1440</v>
      </c>
      <c r="AI108" s="21"/>
      <c r="AJ108" s="21">
        <v>2500</v>
      </c>
      <c r="AK108" s="21"/>
      <c r="AL108" s="21">
        <v>1440</v>
      </c>
      <c r="AM108" s="21"/>
      <c r="AN108" s="21">
        <v>2500</v>
      </c>
      <c r="AO108" s="21"/>
      <c r="AP108" s="21">
        <v>1440</v>
      </c>
      <c r="AQ108" s="21"/>
      <c r="AR108" s="21">
        <v>2500</v>
      </c>
      <c r="AS108" s="21"/>
      <c r="AT108" s="21">
        <v>1360</v>
      </c>
      <c r="AU108" s="21"/>
      <c r="AV108" s="21">
        <v>2500</v>
      </c>
      <c r="AW108" s="21"/>
      <c r="AX108" s="21">
        <v>1280</v>
      </c>
      <c r="AY108" s="21"/>
      <c r="AZ108" s="21">
        <v>2500</v>
      </c>
      <c r="BA108" s="21"/>
      <c r="BB108" s="21">
        <v>940</v>
      </c>
      <c r="BC108" s="21"/>
      <c r="BD108" s="21"/>
      <c r="BE108" s="21"/>
      <c r="BF108" s="16">
        <f>J108+N108+R108+V108+Z108+AD108+AH108+AL108+AP108+AT108+AX108+BB108</f>
        <v>16000</v>
      </c>
      <c r="BG108" s="16">
        <f>K108+O108+S108+W108+AA108+AE108+AI108+AM108+AQ108+AU108+AY108+BC108</f>
        <v>4164</v>
      </c>
      <c r="BH108" s="16">
        <f>L108+P108+T108+X108+AB108+AF108+AJ108+AN108+AR108+AV108+AZ108+BD108</f>
        <v>16624</v>
      </c>
      <c r="BI108" s="16">
        <f>M108+Q108+U108+Y108+AC108+AG108+AK108+AO108+AS108+AW108+BA108+BE108</f>
        <v>617</v>
      </c>
      <c r="BJ108" s="16">
        <v>20000</v>
      </c>
      <c r="BK108" s="16">
        <v>15000</v>
      </c>
      <c r="BL108" s="16">
        <v>10000</v>
      </c>
      <c r="BM108" s="28">
        <f>BK108-BI108</f>
        <v>14383</v>
      </c>
    </row>
    <row r="109" spans="2:65" x14ac:dyDescent="0.25">
      <c r="B109" s="14">
        <f>SUBTOTAL(3,$C$8:C109)</f>
        <v>102</v>
      </c>
      <c r="C109" s="26" t="s">
        <v>64</v>
      </c>
      <c r="D109" s="15" t="s">
        <v>107</v>
      </c>
      <c r="E109" s="15" t="s">
        <v>313</v>
      </c>
      <c r="F109" s="15" t="s">
        <v>117</v>
      </c>
      <c r="G109" s="15"/>
      <c r="H109" s="15"/>
      <c r="I109" s="15"/>
      <c r="J109" s="21">
        <v>3520</v>
      </c>
      <c r="K109" s="21"/>
      <c r="L109" s="21"/>
      <c r="M109" s="21"/>
      <c r="N109" s="21">
        <v>3520</v>
      </c>
      <c r="O109" s="21"/>
      <c r="P109" s="21"/>
      <c r="Q109" s="21"/>
      <c r="R109" s="21">
        <v>2800</v>
      </c>
      <c r="S109" s="21"/>
      <c r="T109" s="21"/>
      <c r="U109" s="21"/>
      <c r="V109" s="21">
        <v>3200</v>
      </c>
      <c r="W109" s="21"/>
      <c r="X109" s="21"/>
      <c r="Y109" s="21"/>
      <c r="Z109" s="21">
        <v>3600</v>
      </c>
      <c r="AA109" s="21"/>
      <c r="AB109" s="21"/>
      <c r="AC109" s="21"/>
      <c r="AD109" s="21">
        <v>3600</v>
      </c>
      <c r="AE109" s="21"/>
      <c r="AF109" s="21"/>
      <c r="AG109" s="21"/>
      <c r="AH109" s="21">
        <v>3600</v>
      </c>
      <c r="AI109" s="21"/>
      <c r="AJ109" s="21"/>
      <c r="AK109" s="21"/>
      <c r="AL109" s="21">
        <v>3600</v>
      </c>
      <c r="AM109" s="21"/>
      <c r="AN109" s="21"/>
      <c r="AO109" s="21"/>
      <c r="AP109" s="21">
        <v>3600</v>
      </c>
      <c r="AQ109" s="21"/>
      <c r="AR109" s="21"/>
      <c r="AS109" s="21"/>
      <c r="AT109" s="21">
        <v>3400</v>
      </c>
      <c r="AU109" s="21"/>
      <c r="AV109" s="21"/>
      <c r="AW109" s="21"/>
      <c r="AX109" s="21">
        <v>3200</v>
      </c>
      <c r="AY109" s="21"/>
      <c r="AZ109" s="21"/>
      <c r="BA109" s="21"/>
      <c r="BB109" s="21">
        <v>2360</v>
      </c>
      <c r="BC109" s="21"/>
      <c r="BD109" s="21"/>
      <c r="BE109" s="21"/>
      <c r="BF109" s="16">
        <f>J109+N109+R109+V109+Z109+AD109+AH109+AL109+AP109+AT109+AX109+BB109</f>
        <v>40000</v>
      </c>
      <c r="BG109" s="16">
        <f>K109+O109+S109+W109+AA109+AE109+AI109+AM109+AQ109+AU109+AY109+BC109</f>
        <v>0</v>
      </c>
      <c r="BH109" s="16">
        <f>L109+P109+T109+X109+AB109+AF109+AJ109+AN109+AR109+AV109+AZ109+BD109</f>
        <v>0</v>
      </c>
      <c r="BI109" s="16">
        <f>M109+Q109+U109+Y109+AC109+AG109+AK109+AO109+AS109+AW109+BA109+BE109</f>
        <v>0</v>
      </c>
      <c r="BJ109" s="16"/>
      <c r="BK109" s="16"/>
      <c r="BL109" s="16"/>
      <c r="BM109" s="28">
        <f>BK109-BI109</f>
        <v>0</v>
      </c>
    </row>
    <row r="110" spans="2:65" x14ac:dyDescent="0.25">
      <c r="B110" s="14">
        <f>SUBTOTAL(3,$C$8:C110)</f>
        <v>103</v>
      </c>
      <c r="C110" s="26" t="s">
        <v>119</v>
      </c>
      <c r="D110" s="15" t="s">
        <v>11</v>
      </c>
      <c r="E110" s="15" t="s">
        <v>222</v>
      </c>
      <c r="F110" s="15" t="s">
        <v>29</v>
      </c>
      <c r="G110" s="15" t="s">
        <v>166</v>
      </c>
      <c r="H110" s="15" t="s">
        <v>195</v>
      </c>
      <c r="I110" s="15" t="s">
        <v>205</v>
      </c>
      <c r="J110" s="21">
        <v>880</v>
      </c>
      <c r="K110" s="21"/>
      <c r="L110" s="21"/>
      <c r="M110" s="21">
        <v>0</v>
      </c>
      <c r="N110" s="21">
        <v>880</v>
      </c>
      <c r="O110" s="21">
        <v>699</v>
      </c>
      <c r="P110" s="21"/>
      <c r="Q110" s="21">
        <v>590</v>
      </c>
      <c r="R110" s="21">
        <v>700</v>
      </c>
      <c r="S110" s="21">
        <v>1057</v>
      </c>
      <c r="T110" s="21"/>
      <c r="U110" s="21">
        <v>0</v>
      </c>
      <c r="V110" s="21">
        <v>800</v>
      </c>
      <c r="W110" s="21"/>
      <c r="X110" s="21">
        <v>1000</v>
      </c>
      <c r="Y110" s="21"/>
      <c r="Z110" s="21">
        <v>900</v>
      </c>
      <c r="AA110" s="21"/>
      <c r="AB110" s="21">
        <v>1000</v>
      </c>
      <c r="AC110" s="21"/>
      <c r="AD110" s="21">
        <v>900</v>
      </c>
      <c r="AE110" s="21"/>
      <c r="AF110" s="21">
        <v>1000</v>
      </c>
      <c r="AG110" s="21"/>
      <c r="AH110" s="21">
        <v>900</v>
      </c>
      <c r="AI110" s="21"/>
      <c r="AJ110" s="21">
        <v>1500</v>
      </c>
      <c r="AK110" s="21"/>
      <c r="AL110" s="21">
        <v>900</v>
      </c>
      <c r="AM110" s="21"/>
      <c r="AN110" s="21">
        <v>1500</v>
      </c>
      <c r="AO110" s="21"/>
      <c r="AP110" s="21">
        <v>900</v>
      </c>
      <c r="AQ110" s="21"/>
      <c r="AR110" s="21">
        <v>1000</v>
      </c>
      <c r="AS110" s="21"/>
      <c r="AT110" s="21">
        <v>850</v>
      </c>
      <c r="AU110" s="21"/>
      <c r="AV110" s="21">
        <v>1000</v>
      </c>
      <c r="AW110" s="21"/>
      <c r="AX110" s="21">
        <v>800</v>
      </c>
      <c r="AY110" s="21"/>
      <c r="AZ110" s="21">
        <v>1000</v>
      </c>
      <c r="BA110" s="21"/>
      <c r="BB110" s="21">
        <v>590</v>
      </c>
      <c r="BC110" s="21"/>
      <c r="BD110" s="21"/>
      <c r="BE110" s="21"/>
      <c r="BF110" s="16">
        <f>J110+N110+R110+V110+Z110+AD110+AH110+AL110+AP110+AT110+AX110+BB110</f>
        <v>10000</v>
      </c>
      <c r="BG110" s="16">
        <f>K110+O110+S110+W110+AA110+AE110+AI110+AM110+AQ110+AU110+AY110+BC110</f>
        <v>1756</v>
      </c>
      <c r="BH110" s="16">
        <f>L110+P110+T110+X110+AB110+AF110+AJ110+AN110+AR110+AV110+AZ110+BD110</f>
        <v>9000</v>
      </c>
      <c r="BI110" s="16">
        <f>M110+Q110+U110+Y110+AC110+AG110+AK110+AO110+AS110+AW110+BA110+BE110</f>
        <v>590</v>
      </c>
      <c r="BJ110" s="16">
        <v>10000</v>
      </c>
      <c r="BK110" s="16">
        <v>8000</v>
      </c>
      <c r="BL110" s="16">
        <v>5000</v>
      </c>
      <c r="BM110" s="28">
        <f>BK110-BI110</f>
        <v>7410</v>
      </c>
    </row>
    <row r="111" spans="2:65" x14ac:dyDescent="0.25">
      <c r="B111" s="14">
        <f>SUBTOTAL(3,$C$8:C111)</f>
        <v>104</v>
      </c>
      <c r="C111" s="26" t="s">
        <v>119</v>
      </c>
      <c r="D111" s="15" t="s">
        <v>31</v>
      </c>
      <c r="E111" s="15" t="s">
        <v>314</v>
      </c>
      <c r="F111" s="15" t="s">
        <v>33</v>
      </c>
      <c r="G111" s="15"/>
      <c r="H111" s="15"/>
      <c r="I111" s="15"/>
      <c r="J111" s="21"/>
      <c r="K111" s="21"/>
      <c r="L111" s="21"/>
      <c r="M111" s="21"/>
      <c r="N111" s="21">
        <v>2880</v>
      </c>
      <c r="O111" s="21"/>
      <c r="P111" s="21"/>
      <c r="Q111" s="21"/>
      <c r="R111" s="21">
        <v>2520</v>
      </c>
      <c r="S111" s="21"/>
      <c r="T111" s="21"/>
      <c r="U111" s="21"/>
      <c r="V111" s="21">
        <v>2880</v>
      </c>
      <c r="W111" s="21"/>
      <c r="X111" s="21"/>
      <c r="Y111" s="21"/>
      <c r="Z111" s="21">
        <v>3240</v>
      </c>
      <c r="AA111" s="21"/>
      <c r="AB111" s="21"/>
      <c r="AC111" s="21"/>
      <c r="AD111" s="21">
        <v>3600</v>
      </c>
      <c r="AE111" s="21"/>
      <c r="AF111" s="21"/>
      <c r="AG111" s="21"/>
      <c r="AH111" s="21">
        <v>3960</v>
      </c>
      <c r="AI111" s="21"/>
      <c r="AJ111" s="21"/>
      <c r="AK111" s="21"/>
      <c r="AL111" s="21">
        <v>3960</v>
      </c>
      <c r="AM111" s="21"/>
      <c r="AN111" s="21"/>
      <c r="AO111" s="21"/>
      <c r="AP111" s="21">
        <v>3960</v>
      </c>
      <c r="AQ111" s="21"/>
      <c r="AR111" s="21"/>
      <c r="AS111" s="21"/>
      <c r="AT111" s="21">
        <v>3420</v>
      </c>
      <c r="AU111" s="21"/>
      <c r="AV111" s="21"/>
      <c r="AW111" s="21"/>
      <c r="AX111" s="21">
        <v>3240</v>
      </c>
      <c r="AY111" s="21"/>
      <c r="AZ111" s="21"/>
      <c r="BA111" s="21"/>
      <c r="BB111" s="21">
        <v>2340</v>
      </c>
      <c r="BC111" s="21"/>
      <c r="BD111" s="21"/>
      <c r="BE111" s="21"/>
      <c r="BF111" s="16">
        <f>J111+N111+R111+V111+Z111+AD111+AH111+AL111+AP111+AT111+AX111+BB111</f>
        <v>36000</v>
      </c>
      <c r="BG111" s="16">
        <f>K111+O111+S111+W111+AA111+AE111+AI111+AM111+AQ111+AU111+AY111+BC111</f>
        <v>0</v>
      </c>
      <c r="BH111" s="16">
        <f>L111+P111+T111+X111+AB111+AF111+AJ111+AN111+AR111+AV111+AZ111+BD111</f>
        <v>0</v>
      </c>
      <c r="BI111" s="16">
        <f>M111+Q111+U111+Y111+AC111+AG111+AK111+AO111+AS111+AW111+BA111+BE111</f>
        <v>0</v>
      </c>
      <c r="BJ111" s="16"/>
      <c r="BK111" s="16"/>
      <c r="BL111" s="16"/>
      <c r="BM111" s="28">
        <f>BK111-BI111</f>
        <v>0</v>
      </c>
    </row>
    <row r="112" spans="2:65" x14ac:dyDescent="0.25">
      <c r="B112" s="14">
        <f>SUBTOTAL(3,$C$8:C112)</f>
        <v>105</v>
      </c>
      <c r="C112" s="26" t="s">
        <v>66</v>
      </c>
      <c r="D112" s="15" t="s">
        <v>115</v>
      </c>
      <c r="E112" s="15" t="s">
        <v>275</v>
      </c>
      <c r="F112" s="15" t="s">
        <v>118</v>
      </c>
      <c r="G112" s="15" t="s">
        <v>186</v>
      </c>
      <c r="H112" s="15" t="s">
        <v>187</v>
      </c>
      <c r="I112" s="15" t="s">
        <v>188</v>
      </c>
      <c r="J112" s="21">
        <v>0</v>
      </c>
      <c r="K112" s="21"/>
      <c r="L112" s="21"/>
      <c r="M112" s="21"/>
      <c r="N112" s="21">
        <v>2400</v>
      </c>
      <c r="O112" s="21"/>
      <c r="P112" s="21"/>
      <c r="Q112" s="21"/>
      <c r="R112" s="21">
        <v>2100</v>
      </c>
      <c r="S112" s="21"/>
      <c r="T112" s="21"/>
      <c r="U112" s="21"/>
      <c r="V112" s="21">
        <v>2400</v>
      </c>
      <c r="W112" s="21"/>
      <c r="X112" s="21"/>
      <c r="Y112" s="21"/>
      <c r="Z112" s="21">
        <v>2700</v>
      </c>
      <c r="AA112" s="21"/>
      <c r="AB112" s="21">
        <v>2000</v>
      </c>
      <c r="AC112" s="21"/>
      <c r="AD112" s="21">
        <v>3000</v>
      </c>
      <c r="AE112" s="21"/>
      <c r="AF112" s="21">
        <v>2000</v>
      </c>
      <c r="AG112" s="21"/>
      <c r="AH112" s="21">
        <v>3300</v>
      </c>
      <c r="AI112" s="21"/>
      <c r="AJ112" s="21">
        <v>2500</v>
      </c>
      <c r="AK112" s="21"/>
      <c r="AL112" s="21">
        <v>3300</v>
      </c>
      <c r="AM112" s="21"/>
      <c r="AN112" s="21">
        <v>3000</v>
      </c>
      <c r="AO112" s="21"/>
      <c r="AP112" s="21">
        <v>3300</v>
      </c>
      <c r="AQ112" s="21"/>
      <c r="AR112" s="21">
        <v>3000</v>
      </c>
      <c r="AS112" s="21"/>
      <c r="AT112" s="21">
        <v>2850</v>
      </c>
      <c r="AU112" s="21"/>
      <c r="AV112" s="21">
        <v>3000</v>
      </c>
      <c r="AW112" s="21"/>
      <c r="AX112" s="21">
        <v>2700</v>
      </c>
      <c r="AY112" s="21"/>
      <c r="AZ112" s="21">
        <v>3000</v>
      </c>
      <c r="BA112" s="21"/>
      <c r="BB112" s="21">
        <v>1950</v>
      </c>
      <c r="BC112" s="21"/>
      <c r="BD112" s="21"/>
      <c r="BE112" s="21"/>
      <c r="BF112" s="16">
        <f>J112+N112+R112+V112+Z112+AD112+AH112+AL112+AP112+AT112+AX112+BB112</f>
        <v>30000</v>
      </c>
      <c r="BG112" s="16">
        <f>K112+O112+S112+W112+AA112+AE112+AI112+AM112+AQ112+AU112+AY112+BC112</f>
        <v>0</v>
      </c>
      <c r="BH112" s="16">
        <f>L112+P112+T112+X112+AB112+AF112+AJ112+AN112+AR112+AV112+AZ112+BD112</f>
        <v>18500</v>
      </c>
      <c r="BI112" s="16">
        <f>M112+Q112+U112+Y112+AC112+AG112+AK112+AO112+AS112+AW112+BA112+BE112</f>
        <v>0</v>
      </c>
      <c r="BJ112" s="16">
        <v>15000</v>
      </c>
      <c r="BK112" s="16">
        <v>10000</v>
      </c>
      <c r="BL112" s="16">
        <v>7000</v>
      </c>
      <c r="BM112" s="28">
        <f>BK112-BI112</f>
        <v>10000</v>
      </c>
    </row>
    <row r="113" spans="2:65" x14ac:dyDescent="0.25">
      <c r="B113" s="14">
        <f>SUBTOTAL(3,$C$8:C113)</f>
        <v>106</v>
      </c>
      <c r="C113" s="26" t="s">
        <v>63</v>
      </c>
      <c r="D113" s="15" t="s">
        <v>71</v>
      </c>
      <c r="E113" s="15" t="s">
        <v>315</v>
      </c>
      <c r="F113" s="15" t="s">
        <v>116</v>
      </c>
      <c r="G113" s="15"/>
      <c r="H113" s="15"/>
      <c r="I113" s="15"/>
      <c r="J113" s="21"/>
      <c r="K113" s="21"/>
      <c r="L113" s="21"/>
      <c r="M113" s="21"/>
      <c r="N113" s="21">
        <v>2400</v>
      </c>
      <c r="O113" s="21"/>
      <c r="P113" s="21"/>
      <c r="Q113" s="21"/>
      <c r="R113" s="21">
        <v>2100</v>
      </c>
      <c r="S113" s="21"/>
      <c r="T113" s="21"/>
      <c r="U113" s="21"/>
      <c r="V113" s="21">
        <v>2400</v>
      </c>
      <c r="W113" s="21"/>
      <c r="X113" s="21"/>
      <c r="Y113" s="21"/>
      <c r="Z113" s="21">
        <v>2700</v>
      </c>
      <c r="AA113" s="21"/>
      <c r="AB113" s="21"/>
      <c r="AC113" s="21"/>
      <c r="AD113" s="21">
        <v>3000</v>
      </c>
      <c r="AE113" s="21"/>
      <c r="AF113" s="21"/>
      <c r="AG113" s="21"/>
      <c r="AH113" s="21">
        <v>3300</v>
      </c>
      <c r="AI113" s="21"/>
      <c r="AJ113" s="21"/>
      <c r="AK113" s="21"/>
      <c r="AL113" s="21">
        <v>3300</v>
      </c>
      <c r="AM113" s="21"/>
      <c r="AN113" s="21"/>
      <c r="AO113" s="21"/>
      <c r="AP113" s="21">
        <v>3300</v>
      </c>
      <c r="AQ113" s="21"/>
      <c r="AR113" s="21"/>
      <c r="AS113" s="21"/>
      <c r="AT113" s="21">
        <v>2850</v>
      </c>
      <c r="AU113" s="21"/>
      <c r="AV113" s="21"/>
      <c r="AW113" s="21"/>
      <c r="AX113" s="21">
        <v>2700</v>
      </c>
      <c r="AY113" s="21"/>
      <c r="AZ113" s="21"/>
      <c r="BA113" s="21"/>
      <c r="BB113" s="21">
        <v>1950</v>
      </c>
      <c r="BC113" s="21"/>
      <c r="BD113" s="21"/>
      <c r="BE113" s="21"/>
      <c r="BF113" s="16">
        <f>J113+N113+R113+V113+Z113+AD113+AH113+AL113+AP113+AT113+AX113+BB113</f>
        <v>30000</v>
      </c>
      <c r="BG113" s="16">
        <f>K113+O113+S113+W113+AA113+AE113+AI113+AM113+AQ113+AU113+AY113+BC113</f>
        <v>0</v>
      </c>
      <c r="BH113" s="16">
        <f>L113+P113+T113+X113+AB113+AF113+AJ113+AN113+AR113+AV113+AZ113+BD113</f>
        <v>0</v>
      </c>
      <c r="BI113" s="16">
        <f>M113+Q113+U113+Y113+AC113+AG113+AK113+AO113+AS113+AW113+BA113+BE113</f>
        <v>0</v>
      </c>
      <c r="BJ113" s="16"/>
      <c r="BK113" s="16"/>
      <c r="BL113" s="16"/>
      <c r="BM113" s="28">
        <f>BK113-BI113</f>
        <v>0</v>
      </c>
    </row>
    <row r="114" spans="2:65" x14ac:dyDescent="0.25">
      <c r="B114" s="14">
        <f>SUBTOTAL(3,$C$8:C114)</f>
        <v>107</v>
      </c>
      <c r="C114" s="26" t="s">
        <v>65</v>
      </c>
      <c r="D114" s="15" t="s">
        <v>111</v>
      </c>
      <c r="E114" s="15" t="s">
        <v>269</v>
      </c>
      <c r="F114" s="15" t="s">
        <v>118</v>
      </c>
      <c r="G114" s="15" t="s">
        <v>179</v>
      </c>
      <c r="H114" s="15" t="s">
        <v>183</v>
      </c>
      <c r="I114" s="15" t="s">
        <v>185</v>
      </c>
      <c r="J114" s="21">
        <v>0</v>
      </c>
      <c r="K114" s="21">
        <v>911</v>
      </c>
      <c r="L114" s="21"/>
      <c r="M114" s="21"/>
      <c r="N114" s="21">
        <v>2880</v>
      </c>
      <c r="O114" s="21"/>
      <c r="P114" s="21"/>
      <c r="Q114" s="21"/>
      <c r="R114" s="21">
        <v>2520</v>
      </c>
      <c r="S114" s="21">
        <v>1163</v>
      </c>
      <c r="T114" s="21"/>
      <c r="U114" s="21"/>
      <c r="V114" s="21">
        <v>2880</v>
      </c>
      <c r="W114" s="21"/>
      <c r="X114" s="21">
        <v>916</v>
      </c>
      <c r="Y114" s="21"/>
      <c r="Z114" s="21">
        <v>3240</v>
      </c>
      <c r="AA114" s="21"/>
      <c r="AB114" s="21">
        <v>1500</v>
      </c>
      <c r="AC114" s="21"/>
      <c r="AD114" s="21">
        <v>3600</v>
      </c>
      <c r="AE114" s="21"/>
      <c r="AF114" s="21">
        <v>1500</v>
      </c>
      <c r="AG114" s="21"/>
      <c r="AH114" s="21">
        <v>3960</v>
      </c>
      <c r="AI114" s="21"/>
      <c r="AJ114" s="21">
        <v>2000</v>
      </c>
      <c r="AK114" s="21"/>
      <c r="AL114" s="21">
        <v>3960</v>
      </c>
      <c r="AM114" s="21"/>
      <c r="AN114" s="21">
        <v>2000</v>
      </c>
      <c r="AO114" s="21"/>
      <c r="AP114" s="21">
        <v>3960</v>
      </c>
      <c r="AQ114" s="21"/>
      <c r="AR114" s="21">
        <v>2500</v>
      </c>
      <c r="AS114" s="21"/>
      <c r="AT114" s="21">
        <v>3420</v>
      </c>
      <c r="AU114" s="21"/>
      <c r="AV114" s="21">
        <v>2500</v>
      </c>
      <c r="AW114" s="21"/>
      <c r="AX114" s="21">
        <v>3240</v>
      </c>
      <c r="AY114" s="21"/>
      <c r="AZ114" s="21">
        <v>2500</v>
      </c>
      <c r="BA114" s="21"/>
      <c r="BB114" s="21">
        <v>2340</v>
      </c>
      <c r="BC114" s="21"/>
      <c r="BD114" s="21"/>
      <c r="BE114" s="21"/>
      <c r="BF114" s="16">
        <f>J114+N114+R114+V114+Z114+AD114+AH114+AL114+AP114+AT114+AX114+BB114</f>
        <v>36000</v>
      </c>
      <c r="BG114" s="16">
        <f>K114+O114+S114+W114+AA114+AE114+AI114+AM114+AQ114+AU114+AY114+BC114</f>
        <v>2074</v>
      </c>
      <c r="BH114" s="16">
        <f>L114+P114+T114+X114+AB114+AF114+AJ114+AN114+AR114+AV114+AZ114+BD114</f>
        <v>15416</v>
      </c>
      <c r="BI114" s="16">
        <f>M114+Q114+U114+Y114+AC114+AG114+AK114+AO114+AS114+AW114+BA114+BE114</f>
        <v>0</v>
      </c>
      <c r="BJ114" s="16">
        <v>20000</v>
      </c>
      <c r="BK114" s="16">
        <v>15000</v>
      </c>
      <c r="BL114" s="16">
        <v>10000</v>
      </c>
      <c r="BM114" s="28">
        <f>BK114-BI114</f>
        <v>15000</v>
      </c>
    </row>
    <row r="115" spans="2:65" x14ac:dyDescent="0.25">
      <c r="B115" s="14">
        <f>SUBTOTAL(3,$C$8:C115)</f>
        <v>108</v>
      </c>
      <c r="C115" s="26" t="s">
        <v>66</v>
      </c>
      <c r="D115" s="15" t="s">
        <v>114</v>
      </c>
      <c r="E115" s="15" t="s">
        <v>271</v>
      </c>
      <c r="F115" s="15" t="s">
        <v>118</v>
      </c>
      <c r="G115" s="15" t="s">
        <v>186</v>
      </c>
      <c r="H115" s="15" t="s">
        <v>190</v>
      </c>
      <c r="I115" s="15" t="s">
        <v>189</v>
      </c>
      <c r="J115" s="21">
        <v>0</v>
      </c>
      <c r="K115" s="21"/>
      <c r="L115" s="21"/>
      <c r="M115" s="21"/>
      <c r="N115" s="21">
        <v>2880</v>
      </c>
      <c r="O115" s="21"/>
      <c r="P115" s="21"/>
      <c r="Q115" s="21"/>
      <c r="R115" s="21">
        <v>2520</v>
      </c>
      <c r="S115" s="21"/>
      <c r="T115" s="21"/>
      <c r="U115" s="21"/>
      <c r="V115" s="21">
        <v>2880</v>
      </c>
      <c r="W115" s="21"/>
      <c r="X115" s="21">
        <v>1113</v>
      </c>
      <c r="Y115" s="21"/>
      <c r="Z115" s="21">
        <v>3240</v>
      </c>
      <c r="AA115" s="21"/>
      <c r="AB115" s="21">
        <v>1500</v>
      </c>
      <c r="AC115" s="21"/>
      <c r="AD115" s="21">
        <v>3600</v>
      </c>
      <c r="AE115" s="21"/>
      <c r="AF115" s="21">
        <v>1500</v>
      </c>
      <c r="AG115" s="21"/>
      <c r="AH115" s="21">
        <v>3960</v>
      </c>
      <c r="AI115" s="21"/>
      <c r="AJ115" s="21">
        <v>2000</v>
      </c>
      <c r="AK115" s="21"/>
      <c r="AL115" s="21">
        <v>3960</v>
      </c>
      <c r="AM115" s="21"/>
      <c r="AN115" s="21">
        <v>2000</v>
      </c>
      <c r="AO115" s="21"/>
      <c r="AP115" s="21">
        <v>3960</v>
      </c>
      <c r="AQ115" s="21"/>
      <c r="AR115" s="21">
        <v>2500</v>
      </c>
      <c r="AS115" s="21"/>
      <c r="AT115" s="21">
        <v>3420</v>
      </c>
      <c r="AU115" s="21"/>
      <c r="AV115" s="21">
        <v>2500</v>
      </c>
      <c r="AW115" s="21"/>
      <c r="AX115" s="21">
        <v>3240</v>
      </c>
      <c r="AY115" s="21"/>
      <c r="AZ115" s="21">
        <v>2500</v>
      </c>
      <c r="BA115" s="21"/>
      <c r="BB115" s="21">
        <v>2340</v>
      </c>
      <c r="BC115" s="21"/>
      <c r="BD115" s="21"/>
      <c r="BE115" s="21"/>
      <c r="BF115" s="16">
        <f>J115+N115+R115+V115+Z115+AD115+AH115+AL115+AP115+AT115+AX115+BB115</f>
        <v>36000</v>
      </c>
      <c r="BG115" s="16">
        <f>K115+O115+S115+W115+AA115+AE115+AI115+AM115+AQ115+AU115+AY115+BC115</f>
        <v>0</v>
      </c>
      <c r="BH115" s="16">
        <f>L115+P115+T115+X115+AB115+AF115+AJ115+AN115+AR115+AV115+AZ115+BD115</f>
        <v>15613</v>
      </c>
      <c r="BI115" s="16">
        <f>M115+Q115+U115+Y115+AC115+AG115+AK115+AO115+AS115+AW115+BA115+BE115</f>
        <v>0</v>
      </c>
      <c r="BJ115" s="16">
        <v>10000</v>
      </c>
      <c r="BK115" s="16">
        <v>5000</v>
      </c>
      <c r="BL115" s="16">
        <v>3000</v>
      </c>
      <c r="BM115" s="28">
        <f>BK115-BI115</f>
        <v>5000</v>
      </c>
    </row>
    <row r="116" spans="2:65" x14ac:dyDescent="0.25">
      <c r="B116" s="14">
        <f>SUBTOTAL(3,$C$8:C116)</f>
        <v>109</v>
      </c>
      <c r="C116" s="26" t="s">
        <v>63</v>
      </c>
      <c r="D116" s="15" t="s">
        <v>71</v>
      </c>
      <c r="E116" s="15" t="s">
        <v>316</v>
      </c>
      <c r="F116" s="15" t="s">
        <v>116</v>
      </c>
      <c r="G116" s="15"/>
      <c r="H116" s="15"/>
      <c r="I116" s="15"/>
      <c r="J116" s="21"/>
      <c r="K116" s="21"/>
      <c r="L116" s="21"/>
      <c r="M116" s="21"/>
      <c r="N116" s="21">
        <v>2880</v>
      </c>
      <c r="O116" s="21"/>
      <c r="P116" s="21"/>
      <c r="Q116" s="21"/>
      <c r="R116" s="21">
        <v>2520</v>
      </c>
      <c r="S116" s="21"/>
      <c r="T116" s="21"/>
      <c r="U116" s="21"/>
      <c r="V116" s="21">
        <v>2880</v>
      </c>
      <c r="W116" s="21"/>
      <c r="X116" s="21"/>
      <c r="Y116" s="21"/>
      <c r="Z116" s="21">
        <v>3240</v>
      </c>
      <c r="AA116" s="21"/>
      <c r="AB116" s="21"/>
      <c r="AC116" s="21"/>
      <c r="AD116" s="21">
        <v>3600</v>
      </c>
      <c r="AE116" s="21"/>
      <c r="AF116" s="21"/>
      <c r="AG116" s="21"/>
      <c r="AH116" s="21">
        <v>3960</v>
      </c>
      <c r="AI116" s="21"/>
      <c r="AJ116" s="21"/>
      <c r="AK116" s="21"/>
      <c r="AL116" s="21">
        <v>3960</v>
      </c>
      <c r="AM116" s="21"/>
      <c r="AN116" s="21"/>
      <c r="AO116" s="21"/>
      <c r="AP116" s="21">
        <v>3960</v>
      </c>
      <c r="AQ116" s="21"/>
      <c r="AR116" s="21"/>
      <c r="AS116" s="21"/>
      <c r="AT116" s="21">
        <v>3420</v>
      </c>
      <c r="AU116" s="21"/>
      <c r="AV116" s="21"/>
      <c r="AW116" s="21"/>
      <c r="AX116" s="21">
        <v>3240</v>
      </c>
      <c r="AY116" s="21"/>
      <c r="AZ116" s="21"/>
      <c r="BA116" s="21"/>
      <c r="BB116" s="21">
        <v>2340</v>
      </c>
      <c r="BC116" s="21"/>
      <c r="BD116" s="21"/>
      <c r="BE116" s="21"/>
      <c r="BF116" s="16">
        <f>J116+N116+R116+V116+Z116+AD116+AH116+AL116+AP116+AT116+AX116+BB116</f>
        <v>36000</v>
      </c>
      <c r="BG116" s="16">
        <f>K116+O116+S116+W116+AA116+AE116+AI116+AM116+AQ116+AU116+AY116+BC116</f>
        <v>0</v>
      </c>
      <c r="BH116" s="16">
        <f>L116+P116+T116+X116+AB116+AF116+AJ116+AN116+AR116+AV116+AZ116+BD116</f>
        <v>0</v>
      </c>
      <c r="BI116" s="16">
        <f>M116+Q116+U116+Y116+AC116+AG116+AK116+AO116+AS116+AW116+BA116+BE116</f>
        <v>0</v>
      </c>
      <c r="BJ116" s="16"/>
      <c r="BK116" s="16"/>
      <c r="BL116" s="16"/>
      <c r="BM116" s="28">
        <f>BK116-BI116</f>
        <v>0</v>
      </c>
    </row>
    <row r="117" spans="2:65" x14ac:dyDescent="0.25">
      <c r="B117" s="14">
        <f>SUBTOTAL(3,$C$8:C117)</f>
        <v>110</v>
      </c>
      <c r="C117" s="26" t="s">
        <v>63</v>
      </c>
      <c r="D117" s="15" t="s">
        <v>142</v>
      </c>
      <c r="E117" s="15" t="s">
        <v>317</v>
      </c>
      <c r="F117" s="15" t="s">
        <v>116</v>
      </c>
      <c r="G117" s="15"/>
      <c r="H117" s="15"/>
      <c r="I117" s="15"/>
      <c r="J117" s="21"/>
      <c r="K117" s="21"/>
      <c r="L117" s="21"/>
      <c r="M117" s="21"/>
      <c r="N117" s="21">
        <v>2880</v>
      </c>
      <c r="O117" s="21"/>
      <c r="P117" s="21"/>
      <c r="Q117" s="21"/>
      <c r="R117" s="21">
        <v>2520</v>
      </c>
      <c r="S117" s="21"/>
      <c r="T117" s="21"/>
      <c r="U117" s="21"/>
      <c r="V117" s="21">
        <v>2880</v>
      </c>
      <c r="W117" s="21"/>
      <c r="X117" s="21"/>
      <c r="Y117" s="21"/>
      <c r="Z117" s="21">
        <v>3240</v>
      </c>
      <c r="AA117" s="21"/>
      <c r="AB117" s="21"/>
      <c r="AC117" s="21"/>
      <c r="AD117" s="21">
        <v>3600</v>
      </c>
      <c r="AE117" s="21"/>
      <c r="AF117" s="21"/>
      <c r="AG117" s="21"/>
      <c r="AH117" s="21">
        <v>3960</v>
      </c>
      <c r="AI117" s="21"/>
      <c r="AJ117" s="21"/>
      <c r="AK117" s="21"/>
      <c r="AL117" s="21">
        <v>3960</v>
      </c>
      <c r="AM117" s="21"/>
      <c r="AN117" s="21"/>
      <c r="AO117" s="21"/>
      <c r="AP117" s="21">
        <v>3960</v>
      </c>
      <c r="AQ117" s="21"/>
      <c r="AR117" s="21"/>
      <c r="AS117" s="21"/>
      <c r="AT117" s="21">
        <v>3420</v>
      </c>
      <c r="AU117" s="21"/>
      <c r="AV117" s="21"/>
      <c r="AW117" s="21"/>
      <c r="AX117" s="21">
        <v>3240</v>
      </c>
      <c r="AY117" s="21"/>
      <c r="AZ117" s="21"/>
      <c r="BA117" s="21"/>
      <c r="BB117" s="21">
        <v>2340</v>
      </c>
      <c r="BC117" s="21"/>
      <c r="BD117" s="21"/>
      <c r="BE117" s="21"/>
      <c r="BF117" s="16">
        <f>J117+N117+R117+V117+Z117+AD117+AH117+AL117+AP117+AT117+AX117+BB117</f>
        <v>36000</v>
      </c>
      <c r="BG117" s="16">
        <f>K117+O117+S117+W117+AA117+AE117+AI117+AM117+AQ117+AU117+AY117+BC117</f>
        <v>0</v>
      </c>
      <c r="BH117" s="16">
        <f>L117+P117+T117+X117+AB117+AF117+AJ117+AN117+AR117+AV117+AZ117+BD117</f>
        <v>0</v>
      </c>
      <c r="BI117" s="16">
        <f>M117+Q117+U117+Y117+AC117+AG117+AK117+AO117+AS117+AW117+BA117+BE117</f>
        <v>0</v>
      </c>
      <c r="BJ117" s="16"/>
      <c r="BK117" s="16"/>
      <c r="BL117" s="16"/>
      <c r="BM117" s="28">
        <f>BK117-BI117</f>
        <v>0</v>
      </c>
    </row>
    <row r="118" spans="2:65" x14ac:dyDescent="0.25">
      <c r="B118" s="14">
        <f>SUBTOTAL(3,$C$8:C118)</f>
        <v>111</v>
      </c>
      <c r="C118" s="26" t="s">
        <v>66</v>
      </c>
      <c r="D118" s="15" t="s">
        <v>114</v>
      </c>
      <c r="E118" s="15" t="s">
        <v>273</v>
      </c>
      <c r="F118" s="15" t="s">
        <v>118</v>
      </c>
      <c r="G118" s="15" t="s">
        <v>186</v>
      </c>
      <c r="H118" s="15" t="s">
        <v>208</v>
      </c>
      <c r="I118" s="15" t="s">
        <v>193</v>
      </c>
      <c r="J118" s="21">
        <v>0</v>
      </c>
      <c r="K118" s="21"/>
      <c r="L118" s="21"/>
      <c r="M118" s="21"/>
      <c r="N118" s="21">
        <v>0</v>
      </c>
      <c r="O118" s="21"/>
      <c r="P118" s="21"/>
      <c r="Q118" s="21"/>
      <c r="R118" s="21">
        <v>2880</v>
      </c>
      <c r="S118" s="21"/>
      <c r="T118" s="21"/>
      <c r="U118" s="21"/>
      <c r="V118" s="21">
        <v>3240</v>
      </c>
      <c r="W118" s="21"/>
      <c r="X118" s="21">
        <v>1645</v>
      </c>
      <c r="Y118" s="21"/>
      <c r="Z118" s="21">
        <v>3600</v>
      </c>
      <c r="AA118" s="21"/>
      <c r="AB118" s="21">
        <v>1500</v>
      </c>
      <c r="AC118" s="21"/>
      <c r="AD118" s="21">
        <v>3960</v>
      </c>
      <c r="AE118" s="21"/>
      <c r="AF118" s="21">
        <v>1500</v>
      </c>
      <c r="AG118" s="21"/>
      <c r="AH118" s="21">
        <v>4320</v>
      </c>
      <c r="AI118" s="21"/>
      <c r="AJ118" s="21">
        <v>2000</v>
      </c>
      <c r="AK118" s="21"/>
      <c r="AL118" s="21">
        <v>4680</v>
      </c>
      <c r="AM118" s="21"/>
      <c r="AN118" s="21">
        <v>2000</v>
      </c>
      <c r="AO118" s="21"/>
      <c r="AP118" s="21">
        <v>3600</v>
      </c>
      <c r="AQ118" s="21"/>
      <c r="AR118" s="21">
        <v>2500</v>
      </c>
      <c r="AS118" s="21"/>
      <c r="AT118" s="21">
        <v>3600</v>
      </c>
      <c r="AU118" s="21"/>
      <c r="AV118" s="21">
        <v>2500</v>
      </c>
      <c r="AW118" s="21"/>
      <c r="AX118" s="21">
        <v>3240</v>
      </c>
      <c r="AY118" s="21"/>
      <c r="AZ118" s="21">
        <v>2500</v>
      </c>
      <c r="BA118" s="21"/>
      <c r="BB118" s="21">
        <v>2880</v>
      </c>
      <c r="BC118" s="21"/>
      <c r="BD118" s="21"/>
      <c r="BE118" s="21"/>
      <c r="BF118" s="16">
        <f>J118+N118+R118+V118+Z118+AD118+AH118+AL118+AP118+AT118+AX118+BB118</f>
        <v>36000</v>
      </c>
      <c r="BG118" s="16">
        <f>K118+O118+S118+W118+AA118+AE118+AI118+AM118+AQ118+AU118+AY118+BC118</f>
        <v>0</v>
      </c>
      <c r="BH118" s="16">
        <f>L118+P118+T118+X118+AB118+AF118+AJ118+AN118+AR118+AV118+AZ118+BD118</f>
        <v>16145</v>
      </c>
      <c r="BI118" s="16">
        <f>M118+Q118+U118+Y118+AC118+AG118+AK118+AO118+AS118+AW118+BA118+BE118</f>
        <v>0</v>
      </c>
      <c r="BJ118" s="16">
        <v>15000</v>
      </c>
      <c r="BK118" s="16">
        <v>10000</v>
      </c>
      <c r="BL118" s="16">
        <v>7000</v>
      </c>
      <c r="BM118" s="28">
        <f>BK118-BI118</f>
        <v>10000</v>
      </c>
    </row>
    <row r="119" spans="2:65" x14ac:dyDescent="0.25">
      <c r="B119" s="14">
        <f>SUBTOTAL(3,$C$8:C119)</f>
        <v>112</v>
      </c>
      <c r="C119" s="26" t="s">
        <v>66</v>
      </c>
      <c r="D119" s="15" t="s">
        <v>115</v>
      </c>
      <c r="E119" s="15" t="s">
        <v>324</v>
      </c>
      <c r="F119" s="15" t="s">
        <v>118</v>
      </c>
      <c r="G119" s="15" t="s">
        <v>186</v>
      </c>
      <c r="H119" s="15" t="s">
        <v>187</v>
      </c>
      <c r="I119" s="15" t="s">
        <v>188</v>
      </c>
      <c r="J119" s="21">
        <v>0</v>
      </c>
      <c r="K119" s="21"/>
      <c r="L119" s="21"/>
      <c r="M119" s="21"/>
      <c r="N119" s="21">
        <v>0</v>
      </c>
      <c r="O119" s="21"/>
      <c r="P119" s="21"/>
      <c r="Q119" s="21"/>
      <c r="R119" s="21">
        <v>2400</v>
      </c>
      <c r="S119" s="21"/>
      <c r="T119" s="21"/>
      <c r="U119" s="21"/>
      <c r="V119" s="21">
        <v>2700</v>
      </c>
      <c r="W119" s="21"/>
      <c r="X119" s="21"/>
      <c r="Y119" s="21"/>
      <c r="Z119" s="21">
        <v>3000</v>
      </c>
      <c r="AA119" s="21"/>
      <c r="AB119" s="21">
        <v>2000</v>
      </c>
      <c r="AC119" s="21"/>
      <c r="AD119" s="21">
        <v>3300</v>
      </c>
      <c r="AE119" s="21"/>
      <c r="AF119" s="21">
        <v>2000</v>
      </c>
      <c r="AG119" s="21"/>
      <c r="AH119" s="21">
        <v>3600</v>
      </c>
      <c r="AI119" s="21"/>
      <c r="AJ119" s="21">
        <v>2500</v>
      </c>
      <c r="AK119" s="21"/>
      <c r="AL119" s="21">
        <v>3900</v>
      </c>
      <c r="AM119" s="21"/>
      <c r="AN119" s="21">
        <v>3000</v>
      </c>
      <c r="AO119" s="21"/>
      <c r="AP119" s="21">
        <v>3000</v>
      </c>
      <c r="AQ119" s="21"/>
      <c r="AR119" s="21">
        <v>3000</v>
      </c>
      <c r="AS119" s="21"/>
      <c r="AT119" s="21">
        <v>3000</v>
      </c>
      <c r="AU119" s="21"/>
      <c r="AV119" s="21">
        <v>3000</v>
      </c>
      <c r="AW119" s="21"/>
      <c r="AX119" s="21">
        <v>2700</v>
      </c>
      <c r="AY119" s="21"/>
      <c r="AZ119" s="21">
        <v>3000</v>
      </c>
      <c r="BA119" s="21"/>
      <c r="BB119" s="21">
        <v>2400</v>
      </c>
      <c r="BC119" s="21"/>
      <c r="BD119" s="21"/>
      <c r="BE119" s="21"/>
      <c r="BF119" s="16">
        <f>J119+N119+R119+V119+Z119+AD119+AH119+AL119+AP119+AT119+AX119+BB119</f>
        <v>30000</v>
      </c>
      <c r="BG119" s="16">
        <f>K119+O119+S119+W119+AA119+AE119+AI119+AM119+AQ119+AU119+AY119+BC119</f>
        <v>0</v>
      </c>
      <c r="BH119" s="16">
        <f>L119+P119+T119+X119+AB119+AF119+AJ119+AN119+AR119+AV119+AZ119+BD119</f>
        <v>18500</v>
      </c>
      <c r="BI119" s="16">
        <f>M119+Q119+U119+Y119+AC119+AG119+AK119+AO119+AS119+AW119+BA119+BE119</f>
        <v>0</v>
      </c>
      <c r="BJ119" s="16">
        <v>15000</v>
      </c>
      <c r="BK119" s="16">
        <v>10000</v>
      </c>
      <c r="BL119" s="16">
        <v>7000</v>
      </c>
      <c r="BM119" s="28">
        <f>BK119-BI119</f>
        <v>10000</v>
      </c>
    </row>
    <row r="120" spans="2:65" x14ac:dyDescent="0.25">
      <c r="B120" s="14">
        <f>SUBTOTAL(3,$C$8:C120)</f>
        <v>113</v>
      </c>
      <c r="C120" s="26" t="s">
        <v>65</v>
      </c>
      <c r="D120" s="15" t="s">
        <v>111</v>
      </c>
      <c r="E120" s="15" t="s">
        <v>318</v>
      </c>
      <c r="F120" s="15" t="s">
        <v>118</v>
      </c>
      <c r="G120" s="15" t="s">
        <v>179</v>
      </c>
      <c r="H120" s="15" t="s">
        <v>183</v>
      </c>
      <c r="I120" s="15"/>
      <c r="J120" s="21"/>
      <c r="K120" s="21"/>
      <c r="L120" s="21"/>
      <c r="M120" s="21"/>
      <c r="N120" s="21"/>
      <c r="O120" s="21"/>
      <c r="P120" s="21"/>
      <c r="Q120" s="21"/>
      <c r="R120" s="21">
        <v>2880</v>
      </c>
      <c r="S120" s="21"/>
      <c r="T120" s="21"/>
      <c r="U120" s="21"/>
      <c r="V120" s="21">
        <v>3240</v>
      </c>
      <c r="W120" s="21"/>
      <c r="X120" s="21"/>
      <c r="Y120" s="21"/>
      <c r="Z120" s="21">
        <v>3600</v>
      </c>
      <c r="AA120" s="21"/>
      <c r="AB120" s="21">
        <v>1000</v>
      </c>
      <c r="AC120" s="21"/>
      <c r="AD120" s="21">
        <v>3960</v>
      </c>
      <c r="AE120" s="21"/>
      <c r="AF120" s="21">
        <v>1000</v>
      </c>
      <c r="AG120" s="21"/>
      <c r="AH120" s="21">
        <v>4320</v>
      </c>
      <c r="AI120" s="21"/>
      <c r="AJ120" s="21">
        <v>1500</v>
      </c>
      <c r="AK120" s="21"/>
      <c r="AL120" s="21">
        <v>4680</v>
      </c>
      <c r="AM120" s="21"/>
      <c r="AN120" s="21">
        <v>1500</v>
      </c>
      <c r="AO120" s="21"/>
      <c r="AP120" s="21">
        <v>3600</v>
      </c>
      <c r="AQ120" s="21"/>
      <c r="AR120" s="21">
        <v>2000</v>
      </c>
      <c r="AS120" s="21"/>
      <c r="AT120" s="21">
        <v>3600</v>
      </c>
      <c r="AU120" s="21"/>
      <c r="AV120" s="21">
        <v>2000</v>
      </c>
      <c r="AW120" s="21"/>
      <c r="AX120" s="21">
        <v>3240</v>
      </c>
      <c r="AY120" s="21"/>
      <c r="AZ120" s="21">
        <v>1500</v>
      </c>
      <c r="BA120" s="21"/>
      <c r="BB120" s="21">
        <v>2880</v>
      </c>
      <c r="BC120" s="21"/>
      <c r="BD120" s="21"/>
      <c r="BE120" s="21"/>
      <c r="BF120" s="16">
        <f>J120+N120+R120+V120+Z120+AD120+AH120+AL120+AP120+AT120+AX120+BB120</f>
        <v>36000</v>
      </c>
      <c r="BG120" s="16">
        <f>K120+O120+S120+W120+AA120+AE120+AI120+AM120+AQ120+AU120+AY120+BC120</f>
        <v>0</v>
      </c>
      <c r="BH120" s="16">
        <f>L120+P120+T120+X120+AB120+AF120+AJ120+AN120+AR120+AV120+AZ120+BD120</f>
        <v>10500</v>
      </c>
      <c r="BI120" s="16">
        <f>M120+Q120+U120+Y120+AC120+AG120+AK120+AO120+AS120+AW120+BA120+BE120</f>
        <v>0</v>
      </c>
      <c r="BJ120" s="16">
        <v>15000</v>
      </c>
      <c r="BK120" s="16">
        <v>10000</v>
      </c>
      <c r="BL120" s="16">
        <v>7500</v>
      </c>
      <c r="BM120" s="28">
        <f>BK120-BI120</f>
        <v>10000</v>
      </c>
    </row>
    <row r="121" spans="2:65" x14ac:dyDescent="0.25">
      <c r="B121" s="14">
        <f>SUBTOTAL(3,$C$8:C121)</f>
        <v>114</v>
      </c>
      <c r="C121" s="26" t="s">
        <v>63</v>
      </c>
      <c r="D121" s="15" t="s">
        <v>142</v>
      </c>
      <c r="E121" s="15" t="s">
        <v>319</v>
      </c>
      <c r="F121" s="15" t="s">
        <v>116</v>
      </c>
      <c r="G121" s="15"/>
      <c r="H121" s="15"/>
      <c r="I121" s="15"/>
      <c r="J121" s="21"/>
      <c r="K121" s="21"/>
      <c r="L121" s="21"/>
      <c r="M121" s="21"/>
      <c r="N121" s="21"/>
      <c r="O121" s="21"/>
      <c r="P121" s="21"/>
      <c r="Q121" s="21"/>
      <c r="R121" s="21">
        <v>2880</v>
      </c>
      <c r="S121" s="21"/>
      <c r="T121" s="21"/>
      <c r="U121" s="21"/>
      <c r="V121" s="21">
        <v>3240</v>
      </c>
      <c r="W121" s="21"/>
      <c r="X121" s="21"/>
      <c r="Y121" s="21"/>
      <c r="Z121" s="21">
        <v>3600</v>
      </c>
      <c r="AA121" s="21"/>
      <c r="AB121" s="21"/>
      <c r="AC121" s="21"/>
      <c r="AD121" s="21">
        <v>3960</v>
      </c>
      <c r="AE121" s="21"/>
      <c r="AF121" s="21"/>
      <c r="AG121" s="21"/>
      <c r="AH121" s="21">
        <v>4320</v>
      </c>
      <c r="AI121" s="21"/>
      <c r="AJ121" s="21"/>
      <c r="AK121" s="21"/>
      <c r="AL121" s="21">
        <v>4680</v>
      </c>
      <c r="AM121" s="21"/>
      <c r="AN121" s="21"/>
      <c r="AO121" s="21"/>
      <c r="AP121" s="21">
        <v>3600</v>
      </c>
      <c r="AQ121" s="21"/>
      <c r="AR121" s="21"/>
      <c r="AS121" s="21"/>
      <c r="AT121" s="21">
        <v>3600</v>
      </c>
      <c r="AU121" s="21"/>
      <c r="AV121" s="21"/>
      <c r="AW121" s="21"/>
      <c r="AX121" s="21">
        <v>3240</v>
      </c>
      <c r="AY121" s="21"/>
      <c r="AZ121" s="21"/>
      <c r="BA121" s="21"/>
      <c r="BB121" s="21">
        <v>2880</v>
      </c>
      <c r="BC121" s="21"/>
      <c r="BD121" s="21"/>
      <c r="BE121" s="21"/>
      <c r="BF121" s="16">
        <f>J121+N121+R121+V121+Z121+AD121+AH121+AL121+AP121+AT121+AX121+BB121</f>
        <v>36000</v>
      </c>
      <c r="BG121" s="16">
        <f>K121+O121+S121+W121+AA121+AE121+AI121+AM121+AQ121+AU121+AY121+BC121</f>
        <v>0</v>
      </c>
      <c r="BH121" s="16">
        <f>L121+P121+T121+X121+AB121+AF121+AJ121+AN121+AR121+AV121+AZ121+BD121</f>
        <v>0</v>
      </c>
      <c r="BI121" s="16">
        <f>M121+Q121+U121+Y121+AC121+AG121+AK121+AO121+AS121+AW121+BA121+BE121</f>
        <v>0</v>
      </c>
      <c r="BJ121" s="16"/>
      <c r="BK121" s="16"/>
      <c r="BL121" s="16"/>
      <c r="BM121" s="28">
        <f>BK121-BI121</f>
        <v>0</v>
      </c>
    </row>
    <row r="122" spans="2:65" x14ac:dyDescent="0.25">
      <c r="B122" s="14">
        <f>SUBTOTAL(3,$C$8:C122)</f>
        <v>115</v>
      </c>
      <c r="C122" s="26" t="s">
        <v>65</v>
      </c>
      <c r="D122" s="15" t="s">
        <v>110</v>
      </c>
      <c r="E122" s="15" t="s">
        <v>266</v>
      </c>
      <c r="F122" s="15" t="s">
        <v>118</v>
      </c>
      <c r="G122" s="15" t="s">
        <v>179</v>
      </c>
      <c r="H122" s="15" t="s">
        <v>179</v>
      </c>
      <c r="I122" s="15" t="s">
        <v>182</v>
      </c>
      <c r="J122" s="21">
        <v>0</v>
      </c>
      <c r="K122" s="21"/>
      <c r="L122" s="21"/>
      <c r="M122" s="21"/>
      <c r="N122" s="21">
        <v>0</v>
      </c>
      <c r="O122" s="21"/>
      <c r="P122" s="21"/>
      <c r="Q122" s="21"/>
      <c r="R122" s="21">
        <v>0</v>
      </c>
      <c r="S122" s="21"/>
      <c r="T122" s="21"/>
      <c r="U122" s="21"/>
      <c r="V122" s="21">
        <v>3600</v>
      </c>
      <c r="W122" s="21"/>
      <c r="X122" s="21">
        <v>2194</v>
      </c>
      <c r="Y122" s="21"/>
      <c r="Z122" s="21">
        <v>3960</v>
      </c>
      <c r="AA122" s="21"/>
      <c r="AB122" s="21">
        <v>1500</v>
      </c>
      <c r="AC122" s="21"/>
      <c r="AD122" s="21">
        <v>3960</v>
      </c>
      <c r="AE122" s="21"/>
      <c r="AF122" s="21">
        <v>2000</v>
      </c>
      <c r="AG122" s="21"/>
      <c r="AH122" s="21">
        <v>4320</v>
      </c>
      <c r="AI122" s="21"/>
      <c r="AJ122" s="21">
        <v>2500</v>
      </c>
      <c r="AK122" s="21"/>
      <c r="AL122" s="21">
        <v>4680</v>
      </c>
      <c r="AM122" s="21"/>
      <c r="AN122" s="21">
        <v>2500</v>
      </c>
      <c r="AO122" s="21"/>
      <c r="AP122" s="21">
        <v>4680</v>
      </c>
      <c r="AQ122" s="21"/>
      <c r="AR122" s="21">
        <v>3000</v>
      </c>
      <c r="AS122" s="21"/>
      <c r="AT122" s="21">
        <v>4320</v>
      </c>
      <c r="AU122" s="21"/>
      <c r="AV122" s="21">
        <v>3000</v>
      </c>
      <c r="AW122" s="21"/>
      <c r="AX122" s="21">
        <v>3600</v>
      </c>
      <c r="AY122" s="21"/>
      <c r="AZ122" s="21">
        <v>3000</v>
      </c>
      <c r="BA122" s="21"/>
      <c r="BB122" s="21">
        <v>2880</v>
      </c>
      <c r="BC122" s="21"/>
      <c r="BD122" s="21"/>
      <c r="BE122" s="21"/>
      <c r="BF122" s="16">
        <f>J122+N122+R122+V122+Z122+AD122+AH122+AL122+AP122+AT122+AX122+BB122</f>
        <v>36000</v>
      </c>
      <c r="BG122" s="16">
        <f>K122+O122+S122+W122+AA122+AE122+AI122+AM122+AQ122+AU122+AY122+BC122</f>
        <v>0</v>
      </c>
      <c r="BH122" s="16">
        <f>L122+P122+T122+X122+AB122+AF122+AJ122+AN122+AR122+AV122+AZ122+BD122</f>
        <v>19694</v>
      </c>
      <c r="BI122" s="16">
        <f>M122+Q122+U122+Y122+AC122+AG122+AK122+AO122+AS122+AW122+BA122+BE122</f>
        <v>0</v>
      </c>
      <c r="BJ122" s="16">
        <v>20000</v>
      </c>
      <c r="BK122" s="16">
        <v>15000</v>
      </c>
      <c r="BL122" s="16">
        <v>10000</v>
      </c>
      <c r="BM122" s="28">
        <f>BK122-BI122</f>
        <v>15000</v>
      </c>
    </row>
    <row r="123" spans="2:65" x14ac:dyDescent="0.25">
      <c r="B123" s="14">
        <f>SUBTOTAL(3,$C$8:C123)</f>
        <v>116</v>
      </c>
      <c r="C123" s="26" t="s">
        <v>66</v>
      </c>
      <c r="D123" s="15" t="s">
        <v>114</v>
      </c>
      <c r="E123" s="15" t="s">
        <v>274</v>
      </c>
      <c r="F123" s="15" t="s">
        <v>118</v>
      </c>
      <c r="G123" s="15" t="s">
        <v>186</v>
      </c>
      <c r="H123" s="15"/>
      <c r="I123" s="15" t="s">
        <v>194</v>
      </c>
      <c r="J123" s="21">
        <v>0</v>
      </c>
      <c r="K123" s="21"/>
      <c r="L123" s="21"/>
      <c r="M123" s="21"/>
      <c r="N123" s="21">
        <v>0</v>
      </c>
      <c r="O123" s="21"/>
      <c r="P123" s="21"/>
      <c r="Q123" s="21"/>
      <c r="R123" s="21">
        <v>0</v>
      </c>
      <c r="S123" s="21"/>
      <c r="T123" s="21"/>
      <c r="U123" s="21"/>
      <c r="V123" s="21">
        <v>4000</v>
      </c>
      <c r="W123" s="21"/>
      <c r="X123" s="21"/>
      <c r="Y123" s="21"/>
      <c r="Z123" s="21">
        <v>4400</v>
      </c>
      <c r="AA123" s="21"/>
      <c r="AB123" s="21">
        <v>1500</v>
      </c>
      <c r="AC123" s="21"/>
      <c r="AD123" s="21">
        <v>4400</v>
      </c>
      <c r="AE123" s="21"/>
      <c r="AF123" s="21">
        <v>1500</v>
      </c>
      <c r="AG123" s="21"/>
      <c r="AH123" s="21">
        <v>4800</v>
      </c>
      <c r="AI123" s="21"/>
      <c r="AJ123" s="21">
        <v>2500</v>
      </c>
      <c r="AK123" s="21"/>
      <c r="AL123" s="21">
        <v>5200</v>
      </c>
      <c r="AM123" s="21"/>
      <c r="AN123" s="21">
        <v>2000</v>
      </c>
      <c r="AO123" s="21"/>
      <c r="AP123" s="21">
        <v>5200</v>
      </c>
      <c r="AQ123" s="21"/>
      <c r="AR123" s="21">
        <v>2500</v>
      </c>
      <c r="AS123" s="21"/>
      <c r="AT123" s="21">
        <v>4800</v>
      </c>
      <c r="AU123" s="21"/>
      <c r="AV123" s="21">
        <v>2500</v>
      </c>
      <c r="AW123" s="21"/>
      <c r="AX123" s="21">
        <v>4000</v>
      </c>
      <c r="AY123" s="21"/>
      <c r="AZ123" s="21">
        <v>2500</v>
      </c>
      <c r="BA123" s="21"/>
      <c r="BB123" s="21">
        <v>3200</v>
      </c>
      <c r="BC123" s="21"/>
      <c r="BD123" s="21"/>
      <c r="BE123" s="21"/>
      <c r="BF123" s="16">
        <f>J123+N123+R123+V123+Z123+AD123+AH123+AL123+AP123+AT123+AX123+BB123</f>
        <v>40000</v>
      </c>
      <c r="BG123" s="16">
        <f>K123+O123+S123+W123+AA123+AE123+AI123+AM123+AQ123+AU123+AY123+BC123</f>
        <v>0</v>
      </c>
      <c r="BH123" s="16">
        <f>L123+P123+T123+X123+AB123+AF123+AJ123+AN123+AR123+AV123+AZ123+BD123</f>
        <v>15000</v>
      </c>
      <c r="BI123" s="16">
        <f>M123+Q123+U123+Y123+AC123+AG123+AK123+AO123+AS123+AW123+BA123+BE123</f>
        <v>0</v>
      </c>
      <c r="BJ123" s="16">
        <v>15000</v>
      </c>
      <c r="BK123" s="16">
        <v>10000</v>
      </c>
      <c r="BL123" s="16">
        <v>7000</v>
      </c>
      <c r="BM123" s="28">
        <f>BK123-BI123</f>
        <v>10000</v>
      </c>
    </row>
    <row r="124" spans="2:65" x14ac:dyDescent="0.25">
      <c r="B124" s="14">
        <f>SUBTOTAL(3,$C$8:C124)</f>
        <v>117</v>
      </c>
      <c r="C124" s="26" t="s">
        <v>63</v>
      </c>
      <c r="D124" s="15" t="s">
        <v>140</v>
      </c>
      <c r="E124" s="15" t="s">
        <v>320</v>
      </c>
      <c r="F124" s="15" t="s">
        <v>116</v>
      </c>
      <c r="G124" s="15"/>
      <c r="H124" s="15"/>
      <c r="I124" s="15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>
        <v>4500</v>
      </c>
      <c r="W124" s="21"/>
      <c r="X124" s="21"/>
      <c r="Y124" s="21"/>
      <c r="Z124" s="21">
        <v>4950</v>
      </c>
      <c r="AA124" s="21"/>
      <c r="AB124" s="21"/>
      <c r="AC124" s="21"/>
      <c r="AD124" s="21">
        <v>4950</v>
      </c>
      <c r="AE124" s="21"/>
      <c r="AF124" s="21"/>
      <c r="AG124" s="21"/>
      <c r="AH124" s="21">
        <v>5400</v>
      </c>
      <c r="AI124" s="21"/>
      <c r="AJ124" s="21"/>
      <c r="AK124" s="21"/>
      <c r="AL124" s="21">
        <v>5850</v>
      </c>
      <c r="AM124" s="21"/>
      <c r="AN124" s="21"/>
      <c r="AO124" s="21"/>
      <c r="AP124" s="21">
        <v>5850</v>
      </c>
      <c r="AQ124" s="21"/>
      <c r="AR124" s="21"/>
      <c r="AS124" s="21"/>
      <c r="AT124" s="21">
        <v>5400</v>
      </c>
      <c r="AU124" s="21"/>
      <c r="AV124" s="21"/>
      <c r="AW124" s="21"/>
      <c r="AX124" s="21">
        <v>4500</v>
      </c>
      <c r="AY124" s="21"/>
      <c r="AZ124" s="21"/>
      <c r="BA124" s="21"/>
      <c r="BB124" s="21">
        <v>3600</v>
      </c>
      <c r="BC124" s="21"/>
      <c r="BD124" s="21"/>
      <c r="BE124" s="21"/>
      <c r="BF124" s="16">
        <f>J124+N124+R124+V124+Z124+AD124+AH124+AL124+AP124+AT124+AX124+BB124</f>
        <v>45000</v>
      </c>
      <c r="BG124" s="16">
        <f>K124+O124+S124+W124+AA124+AE124+AI124+AM124+AQ124+AU124+AY124+BC124</f>
        <v>0</v>
      </c>
      <c r="BH124" s="16">
        <f>L124+P124+T124+X124+AB124+AF124+AJ124+AN124+AR124+AV124+AZ124+BD124</f>
        <v>0</v>
      </c>
      <c r="BI124" s="16">
        <f>M124+Q124+U124+Y124+AC124+AG124+AK124+AO124+AS124+AW124+BA124+BE124</f>
        <v>0</v>
      </c>
      <c r="BJ124" s="16"/>
      <c r="BK124" s="16"/>
      <c r="BL124" s="16"/>
      <c r="BM124" s="28">
        <f>BK124-BI124</f>
        <v>0</v>
      </c>
    </row>
    <row r="125" spans="2:65" x14ac:dyDescent="0.25">
      <c r="B125" s="14">
        <f>SUBTOTAL(3,$C$8:C125)</f>
        <v>118</v>
      </c>
      <c r="C125" s="26" t="s">
        <v>63</v>
      </c>
      <c r="D125" s="15" t="s">
        <v>140</v>
      </c>
      <c r="E125" s="15" t="s">
        <v>321</v>
      </c>
      <c r="F125" s="15" t="s">
        <v>116</v>
      </c>
      <c r="G125" s="15"/>
      <c r="H125" s="15"/>
      <c r="I125" s="15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>
        <v>4500</v>
      </c>
      <c r="W125" s="21"/>
      <c r="X125" s="21"/>
      <c r="Y125" s="21"/>
      <c r="Z125" s="21">
        <v>4950</v>
      </c>
      <c r="AA125" s="21"/>
      <c r="AB125" s="21"/>
      <c r="AC125" s="21"/>
      <c r="AD125" s="21">
        <v>4950</v>
      </c>
      <c r="AE125" s="21"/>
      <c r="AF125" s="21"/>
      <c r="AG125" s="21"/>
      <c r="AH125" s="21">
        <v>5400</v>
      </c>
      <c r="AI125" s="21"/>
      <c r="AJ125" s="21"/>
      <c r="AK125" s="21"/>
      <c r="AL125" s="21">
        <v>5850</v>
      </c>
      <c r="AM125" s="21"/>
      <c r="AN125" s="21"/>
      <c r="AO125" s="21"/>
      <c r="AP125" s="21">
        <v>5850</v>
      </c>
      <c r="AQ125" s="21"/>
      <c r="AR125" s="21"/>
      <c r="AS125" s="21"/>
      <c r="AT125" s="21">
        <v>5400</v>
      </c>
      <c r="AU125" s="21"/>
      <c r="AV125" s="21"/>
      <c r="AW125" s="21"/>
      <c r="AX125" s="21">
        <v>4500</v>
      </c>
      <c r="AY125" s="21"/>
      <c r="AZ125" s="21"/>
      <c r="BA125" s="21"/>
      <c r="BB125" s="21">
        <v>3600</v>
      </c>
      <c r="BC125" s="21"/>
      <c r="BD125" s="21"/>
      <c r="BE125" s="21"/>
      <c r="BF125" s="16">
        <f>J125+N125+R125+V125+Z125+AD125+AH125+AL125+AP125+AT125+AX125+BB125</f>
        <v>45000</v>
      </c>
      <c r="BG125" s="16">
        <f>K125+O125+S125+W125+AA125+AE125+AI125+AM125+AQ125+AU125+AY125+BC125</f>
        <v>0</v>
      </c>
      <c r="BH125" s="16">
        <f>L125+P125+T125+X125+AB125+AF125+AJ125+AN125+AR125+AV125+AZ125+BD125</f>
        <v>0</v>
      </c>
      <c r="BI125" s="16">
        <f>M125+Q125+U125+Y125+AC125+AG125+AK125+AO125+AS125+AW125+BA125+BE125</f>
        <v>0</v>
      </c>
      <c r="BJ125" s="16"/>
      <c r="BK125" s="16"/>
      <c r="BL125" s="16"/>
      <c r="BM125" s="28">
        <f>BK125-BI125</f>
        <v>0</v>
      </c>
    </row>
    <row r="126" spans="2:65" x14ac:dyDescent="0.25">
      <c r="B126" s="14">
        <f>SUBTOTAL(3,$C$8:C126)</f>
        <v>119</v>
      </c>
      <c r="C126" s="26" t="s">
        <v>63</v>
      </c>
      <c r="D126" s="15" t="s">
        <v>141</v>
      </c>
      <c r="E126" s="15" t="s">
        <v>322</v>
      </c>
      <c r="F126" s="15" t="s">
        <v>116</v>
      </c>
      <c r="G126" s="15"/>
      <c r="H126" s="15"/>
      <c r="I126" s="15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>
        <v>4500</v>
      </c>
      <c r="W126" s="21"/>
      <c r="X126" s="21"/>
      <c r="Y126" s="21"/>
      <c r="Z126" s="21">
        <v>4950</v>
      </c>
      <c r="AA126" s="21"/>
      <c r="AB126" s="21"/>
      <c r="AC126" s="21"/>
      <c r="AD126" s="21">
        <v>4950</v>
      </c>
      <c r="AE126" s="21"/>
      <c r="AF126" s="21"/>
      <c r="AG126" s="21"/>
      <c r="AH126" s="21">
        <v>5400</v>
      </c>
      <c r="AI126" s="21"/>
      <c r="AJ126" s="21"/>
      <c r="AK126" s="21"/>
      <c r="AL126" s="21">
        <v>5850</v>
      </c>
      <c r="AM126" s="21"/>
      <c r="AN126" s="21"/>
      <c r="AO126" s="21"/>
      <c r="AP126" s="21">
        <v>5850</v>
      </c>
      <c r="AQ126" s="21"/>
      <c r="AR126" s="21"/>
      <c r="AS126" s="21"/>
      <c r="AT126" s="21">
        <v>5400</v>
      </c>
      <c r="AU126" s="21"/>
      <c r="AV126" s="21"/>
      <c r="AW126" s="21"/>
      <c r="AX126" s="21">
        <v>4500</v>
      </c>
      <c r="AY126" s="21"/>
      <c r="AZ126" s="21"/>
      <c r="BA126" s="21"/>
      <c r="BB126" s="21">
        <v>3600</v>
      </c>
      <c r="BC126" s="21"/>
      <c r="BD126" s="21"/>
      <c r="BE126" s="21"/>
      <c r="BF126" s="16">
        <f>J126+N126+R126+V126+Z126+AD126+AH126+AL126+AP126+AT126+AX126+BB126</f>
        <v>45000</v>
      </c>
      <c r="BG126" s="16">
        <f>K126+O126+S126+W126+AA126+AE126+AI126+AM126+AQ126+AU126+AY126+BC126</f>
        <v>0</v>
      </c>
      <c r="BH126" s="16">
        <f>L126+P126+T126+X126+AB126+AF126+AJ126+AN126+AR126+AV126+AZ126+BD126</f>
        <v>0</v>
      </c>
      <c r="BI126" s="16">
        <f>M126+Q126+U126+Y126+AC126+AG126+AK126+AO126+AS126+AW126+BA126+BE126</f>
        <v>0</v>
      </c>
      <c r="BJ126" s="16"/>
      <c r="BK126" s="16"/>
      <c r="BL126" s="16"/>
      <c r="BM126" s="28">
        <f>BK126-BI126</f>
        <v>0</v>
      </c>
    </row>
    <row r="127" spans="2:65" x14ac:dyDescent="0.25">
      <c r="B127" s="14">
        <f>SUBTOTAL(3,$C$8:C127)</f>
        <v>120</v>
      </c>
      <c r="C127" s="26" t="s">
        <v>119</v>
      </c>
      <c r="D127" s="15" t="s">
        <v>113</v>
      </c>
      <c r="E127" s="15" t="s">
        <v>323</v>
      </c>
      <c r="F127" s="15" t="s">
        <v>29</v>
      </c>
      <c r="G127" s="15"/>
      <c r="H127" s="15"/>
      <c r="I127" s="15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>
        <v>3850</v>
      </c>
      <c r="AA127" s="21"/>
      <c r="AB127" s="21"/>
      <c r="AC127" s="21"/>
      <c r="AD127" s="21">
        <v>4200</v>
      </c>
      <c r="AE127" s="21"/>
      <c r="AF127" s="21"/>
      <c r="AG127" s="21"/>
      <c r="AH127" s="21">
        <v>4550</v>
      </c>
      <c r="AI127" s="21"/>
      <c r="AJ127" s="21"/>
      <c r="AK127" s="21"/>
      <c r="AL127" s="21">
        <v>4900</v>
      </c>
      <c r="AM127" s="21"/>
      <c r="AN127" s="21"/>
      <c r="AO127" s="21"/>
      <c r="AP127" s="21">
        <v>4900</v>
      </c>
      <c r="AQ127" s="21"/>
      <c r="AR127" s="21"/>
      <c r="AS127" s="21"/>
      <c r="AT127" s="21">
        <v>4900</v>
      </c>
      <c r="AU127" s="21"/>
      <c r="AV127" s="21"/>
      <c r="AW127" s="21"/>
      <c r="AX127" s="21">
        <v>4550</v>
      </c>
      <c r="AY127" s="21"/>
      <c r="AZ127" s="21"/>
      <c r="BA127" s="21"/>
      <c r="BB127" s="21">
        <v>3150</v>
      </c>
      <c r="BC127" s="21"/>
      <c r="BD127" s="21"/>
      <c r="BE127" s="21"/>
      <c r="BF127" s="16">
        <f>J127+N127+R127+V127+Z127+AD127+AH127+AL127+AP127+AT127+AX127+BB127</f>
        <v>35000</v>
      </c>
      <c r="BG127" s="16">
        <f>K127+O127+S127+W127+AA127+AE127+AI127+AM127+AQ127+AU127+AY127+BC127</f>
        <v>0</v>
      </c>
      <c r="BH127" s="16">
        <f>L127+P127+T127+X127+AB127+AF127+AJ127+AN127+AR127+AV127+AZ127+BD127</f>
        <v>0</v>
      </c>
      <c r="BI127" s="16">
        <f>M127+Q127+U127+Y127+AC127+AG127+AK127+AO127+AS127+AW127+BA127+BE127</f>
        <v>0</v>
      </c>
      <c r="BJ127" s="16"/>
      <c r="BK127" s="16"/>
      <c r="BL127" s="16"/>
      <c r="BM127" s="28">
        <f>BK127-BI127</f>
        <v>0</v>
      </c>
    </row>
    <row r="128" spans="2:65" ht="21" customHeight="1" x14ac:dyDescent="0.25">
      <c r="B128" s="19"/>
      <c r="C128" s="27"/>
      <c r="D128" s="20"/>
      <c r="E128" s="20" t="s">
        <v>30</v>
      </c>
      <c r="F128" s="20"/>
      <c r="G128" s="20"/>
      <c r="H128" s="20"/>
      <c r="I128" s="20"/>
      <c r="J128" s="22">
        <f>SUBTOTAL(9,J8:J127)</f>
        <v>380730</v>
      </c>
      <c r="K128" s="22">
        <f>SUBTOTAL(9,K8:K127)</f>
        <v>154663</v>
      </c>
      <c r="L128" s="22">
        <f>SUBTOTAL(9,L8:L127)</f>
        <v>0</v>
      </c>
      <c r="M128" s="22">
        <f>SUBTOTAL(9,M8:M127)</f>
        <v>11205</v>
      </c>
      <c r="N128" s="22">
        <f>SUBTOTAL(9,N8:N127)</f>
        <v>399930</v>
      </c>
      <c r="O128" s="22">
        <f>SUBTOTAL(9,O8:O127)</f>
        <v>113019</v>
      </c>
      <c r="P128" s="22">
        <f>SUBTOTAL(9,P8:P127)</f>
        <v>0</v>
      </c>
      <c r="Q128" s="22">
        <f>SUBTOTAL(9,Q8:Q127)</f>
        <v>18744</v>
      </c>
      <c r="R128" s="22">
        <f>SUBTOTAL(9,R8:R127)</f>
        <v>330490</v>
      </c>
      <c r="S128" s="22">
        <f>SUBTOTAL(9,S8:S127)</f>
        <v>158231</v>
      </c>
      <c r="T128" s="22">
        <f>SUBTOTAL(9,T8:T127)</f>
        <v>0</v>
      </c>
      <c r="U128" s="22">
        <f>SUBTOTAL(9,U8:U127)</f>
        <v>12246</v>
      </c>
      <c r="V128" s="22">
        <f>SUBTOTAL(9,V8:V127)</f>
        <v>398560</v>
      </c>
      <c r="W128" s="22">
        <f>SUBTOTAL(9,W8:W127)</f>
        <v>0</v>
      </c>
      <c r="X128" s="22">
        <f>SUBTOTAL(9,X8:X127)</f>
        <v>50639</v>
      </c>
      <c r="Y128" s="22">
        <f>SUBTOTAL(9,Y8:Y127)</f>
        <v>0</v>
      </c>
      <c r="Z128" s="22">
        <f>SUBTOTAL(9,Z8:Z127)</f>
        <v>451560</v>
      </c>
      <c r="AA128" s="22">
        <f>SUBTOTAL(9,AA8:AA127)</f>
        <v>0</v>
      </c>
      <c r="AB128" s="22">
        <f>SUBTOTAL(9,AB8:AB127)</f>
        <v>84800</v>
      </c>
      <c r="AC128" s="22">
        <f>SUBTOTAL(9,AC8:AC127)</f>
        <v>0</v>
      </c>
      <c r="AD128" s="22">
        <f>SUBTOTAL(9,AD8:AD127)</f>
        <v>455690</v>
      </c>
      <c r="AE128" s="22">
        <f>SUBTOTAL(9,AE8:AE127)</f>
        <v>0</v>
      </c>
      <c r="AF128" s="22">
        <f>SUBTOTAL(9,AF8:AF127)</f>
        <v>102300</v>
      </c>
      <c r="AG128" s="22">
        <f>SUBTOTAL(9,AG8:AG127)</f>
        <v>0</v>
      </c>
      <c r="AH128" s="22">
        <f>SUBTOTAL(9,AH8:AH127)</f>
        <v>461930</v>
      </c>
      <c r="AI128" s="22">
        <f>SUBTOTAL(9,AI8:AI127)</f>
        <v>0</v>
      </c>
      <c r="AJ128" s="22">
        <f>SUBTOTAL(9,AJ8:AJ127)</f>
        <v>120250</v>
      </c>
      <c r="AK128" s="22">
        <f>SUBTOTAL(9,AK8:AK127)</f>
        <v>0</v>
      </c>
      <c r="AL128" s="22">
        <f>SUBTOTAL(9,AL8:AL127)</f>
        <v>465770</v>
      </c>
      <c r="AM128" s="22">
        <f>SUBTOTAL(9,AM8:AM127)</f>
        <v>0</v>
      </c>
      <c r="AN128" s="22">
        <f>SUBTOTAL(9,AN8:AN127)</f>
        <v>127000</v>
      </c>
      <c r="AO128" s="22">
        <f>SUBTOTAL(9,AO8:AO127)</f>
        <v>0</v>
      </c>
      <c r="AP128" s="22">
        <f>SUBTOTAL(9,AP8:AP127)</f>
        <v>461630</v>
      </c>
      <c r="AQ128" s="22">
        <f>SUBTOTAL(9,AQ8:AQ127)</f>
        <v>0</v>
      </c>
      <c r="AR128" s="22">
        <f>SUBTOTAL(9,AR8:AR127)</f>
        <v>123550</v>
      </c>
      <c r="AS128" s="22">
        <f>SUBTOTAL(9,AS8:AS127)</f>
        <v>0</v>
      </c>
      <c r="AT128" s="22">
        <f>SUBTOTAL(9,AT8:AT127)</f>
        <v>434390</v>
      </c>
      <c r="AU128" s="22">
        <f>SUBTOTAL(9,AU8:AU127)</f>
        <v>0</v>
      </c>
      <c r="AV128" s="22">
        <f>SUBTOTAL(9,AV8:AV127)</f>
        <v>122050</v>
      </c>
      <c r="AW128" s="22">
        <f>SUBTOTAL(9,AW8:AW127)</f>
        <v>0</v>
      </c>
      <c r="AX128" s="22">
        <f>SUBTOTAL(9,AX8:AX127)</f>
        <v>405510</v>
      </c>
      <c r="AY128" s="22">
        <f>SUBTOTAL(9,AY8:AY127)</f>
        <v>0</v>
      </c>
      <c r="AZ128" s="22">
        <f>SUBTOTAL(9,AZ8:AZ127)</f>
        <v>118600</v>
      </c>
      <c r="BA128" s="22">
        <f>SUBTOTAL(9,BA8:BA127)</f>
        <v>0</v>
      </c>
      <c r="BB128" s="22">
        <f>SUBTOTAL(9,BB8:BB127)</f>
        <v>299810</v>
      </c>
      <c r="BC128" s="22">
        <f>SUBTOTAL(9,BC8:BC127)</f>
        <v>0</v>
      </c>
      <c r="BD128" s="22">
        <f>SUBTOTAL(9,BD8:BD127)</f>
        <v>0</v>
      </c>
      <c r="BE128" s="22">
        <f>SUBTOTAL(9,BE8:BE127)</f>
        <v>0</v>
      </c>
      <c r="BF128" s="22">
        <f>SUBTOTAL(9,BF8:BF127)</f>
        <v>4946000</v>
      </c>
      <c r="BG128" s="22">
        <f>SUBTOTAL(9,BG8:BG127)</f>
        <v>425913</v>
      </c>
      <c r="BH128" s="22">
        <f>SUBTOTAL(9,BH8:BH127)</f>
        <v>849189</v>
      </c>
      <c r="BI128" s="22">
        <f>SUBTOTAL(9,BI8:BI127)</f>
        <v>42195</v>
      </c>
      <c r="BJ128" s="22">
        <f>SUBTOTAL(9,BJ8:BJ127)</f>
        <v>1112500</v>
      </c>
      <c r="BK128" s="22">
        <f>SUBTOTAL(9,BK8:BK127)</f>
        <v>766500</v>
      </c>
      <c r="BL128" s="22">
        <f>SUBTOTAL(9,BL8:BL127)</f>
        <v>538500</v>
      </c>
      <c r="BM128" s="22">
        <f>SUBTOTAL(9,BM8:BM127)</f>
        <v>724305</v>
      </c>
    </row>
    <row r="130" spans="24:24" x14ac:dyDescent="0.25">
      <c r="X130" s="23">
        <f>X128/V128</f>
        <v>0.12705489763147329</v>
      </c>
    </row>
  </sheetData>
  <autoFilter ref="B7:BM127" xr:uid="{677F5657-2034-4922-8006-E8155D76C308}"/>
  <mergeCells count="49">
    <mergeCell ref="BJ5:BL6"/>
    <mergeCell ref="AX6:AY6"/>
    <mergeCell ref="AZ6:BA6"/>
    <mergeCell ref="BB6:BC6"/>
    <mergeCell ref="BD6:BE6"/>
    <mergeCell ref="BF5:BI5"/>
    <mergeCell ref="BF6:BG6"/>
    <mergeCell ref="BH6:BI6"/>
    <mergeCell ref="BB5:BE5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L5:AO5"/>
    <mergeCell ref="AP5:AS5"/>
    <mergeCell ref="AT5:AW5"/>
    <mergeCell ref="AX5:BA5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BM5:BM7"/>
    <mergeCell ref="B5:B7"/>
    <mergeCell ref="C5:C7"/>
    <mergeCell ref="D5:D7"/>
    <mergeCell ref="E5:E7"/>
    <mergeCell ref="F5:F7"/>
    <mergeCell ref="J5:M5"/>
    <mergeCell ref="G5:G7"/>
    <mergeCell ref="H5:H7"/>
    <mergeCell ref="I5:I7"/>
    <mergeCell ref="N5:Q5"/>
    <mergeCell ref="R5:U5"/>
    <mergeCell ref="V5:Y5"/>
    <mergeCell ref="Z5:AC5"/>
    <mergeCell ref="AD5:AG5"/>
    <mergeCell ref="AH5:AK5"/>
  </mergeCells>
  <conditionalFormatting sqref="E9:E127">
    <cfRule type="duplicateValues" dxfId="0" priority="33"/>
  </conditionalFormatting>
  <printOptions horizontalCentered="1"/>
  <pageMargins left="0.5" right="0.25" top="0.5" bottom="0.25" header="0.3" footer="0.3"/>
  <pageSetup paperSize="9"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A5797-FB20-48CE-910C-DB0875DFE599}">
  <sheetPr filterMode="1"/>
  <dimension ref="B2:BL81"/>
  <sheetViews>
    <sheetView topLeftCell="A4" zoomScaleNormal="100" zoomScaleSheetLayoutView="100" workbookViewId="0">
      <pane xSplit="6" ySplit="4" topLeftCell="AB56" activePane="bottomRight" state="frozen"/>
      <selection activeCell="A4" sqref="A4"/>
      <selection pane="topRight" activeCell="G4" sqref="G4"/>
      <selection pane="bottomLeft" activeCell="A8" sqref="A8"/>
      <selection pane="bottomRight" activeCell="AB84" sqref="AB84"/>
    </sheetView>
  </sheetViews>
  <sheetFormatPr defaultRowHeight="15" x14ac:dyDescent="0.25"/>
  <cols>
    <col min="1" max="1" width="3.85546875" customWidth="1"/>
    <col min="2" max="2" width="5.5703125" customWidth="1"/>
    <col min="3" max="3" width="13" customWidth="1"/>
    <col min="4" max="4" width="13.7109375" customWidth="1"/>
    <col min="5" max="5" width="18.140625" bestFit="1" customWidth="1"/>
    <col min="6" max="7" width="12" customWidth="1"/>
    <col min="8" max="8" width="11.42578125" customWidth="1"/>
    <col min="9" max="9" width="13.140625" customWidth="1"/>
    <col min="10" max="10" width="11.42578125" customWidth="1"/>
    <col min="11" max="11" width="13.140625" customWidth="1"/>
    <col min="12" max="12" width="11.42578125" customWidth="1"/>
    <col min="13" max="13" width="13.140625" customWidth="1"/>
    <col min="14" max="14" width="11.42578125" customWidth="1"/>
    <col min="15" max="15" width="13.140625" customWidth="1"/>
    <col min="16" max="16" width="11.42578125" customWidth="1"/>
    <col min="17" max="17" width="13.140625" customWidth="1"/>
    <col min="18" max="18" width="11.42578125" customWidth="1"/>
    <col min="19" max="19" width="13.140625" customWidth="1"/>
    <col min="20" max="20" width="11.42578125" bestFit="1" customWidth="1"/>
    <col min="21" max="21" width="13.140625" bestFit="1" customWidth="1"/>
    <col min="22" max="22" width="11.42578125" bestFit="1" customWidth="1"/>
    <col min="23" max="23" width="13.140625" bestFit="1" customWidth="1"/>
    <col min="24" max="24" width="11.42578125" bestFit="1" customWidth="1"/>
    <col min="25" max="25" width="13.140625" bestFit="1" customWidth="1"/>
    <col min="26" max="26" width="11.42578125" bestFit="1" customWidth="1"/>
    <col min="27" max="27" width="13.140625" bestFit="1" customWidth="1"/>
    <col min="28" max="28" width="11.42578125" bestFit="1" customWidth="1"/>
    <col min="29" max="29" width="13.140625" bestFit="1" customWidth="1"/>
    <col min="30" max="30" width="11.42578125" bestFit="1" customWidth="1"/>
    <col min="31" max="31" width="13.140625" bestFit="1" customWidth="1"/>
    <col min="32" max="32" width="11.42578125" bestFit="1" customWidth="1"/>
    <col min="33" max="33" width="13.140625" bestFit="1" customWidth="1"/>
    <col min="34" max="34" width="11.42578125" bestFit="1" customWidth="1"/>
    <col min="35" max="35" width="13.140625" bestFit="1" customWidth="1"/>
    <col min="36" max="36" width="11.42578125" bestFit="1" customWidth="1"/>
    <col min="37" max="37" width="13.140625" bestFit="1" customWidth="1"/>
    <col min="38" max="38" width="11.42578125" bestFit="1" customWidth="1"/>
    <col min="39" max="39" width="13.140625" bestFit="1" customWidth="1"/>
    <col min="40" max="40" width="11.42578125" bestFit="1" customWidth="1"/>
    <col min="41" max="41" width="13.140625" bestFit="1" customWidth="1"/>
    <col min="42" max="42" width="11.42578125" bestFit="1" customWidth="1"/>
    <col min="43" max="43" width="13.140625" bestFit="1" customWidth="1"/>
    <col min="44" max="44" width="11.42578125" bestFit="1" customWidth="1"/>
    <col min="45" max="45" width="13.140625" bestFit="1" customWidth="1"/>
    <col min="46" max="46" width="11.42578125" bestFit="1" customWidth="1"/>
    <col min="47" max="47" width="13.140625" bestFit="1" customWidth="1"/>
    <col min="48" max="48" width="11.42578125" bestFit="1" customWidth="1"/>
    <col min="49" max="49" width="13.140625" bestFit="1" customWidth="1"/>
    <col min="50" max="50" width="11.42578125" bestFit="1" customWidth="1"/>
    <col min="51" max="51" width="13.140625" bestFit="1" customWidth="1"/>
    <col min="52" max="52" width="11.42578125" bestFit="1" customWidth="1"/>
    <col min="53" max="53" width="13.140625" bestFit="1" customWidth="1"/>
    <col min="54" max="54" width="11.42578125" bestFit="1" customWidth="1"/>
    <col min="55" max="55" width="13.140625" bestFit="1" customWidth="1"/>
    <col min="56" max="56" width="11.42578125" bestFit="1" customWidth="1"/>
    <col min="57" max="57" width="13.140625" bestFit="1" customWidth="1"/>
    <col min="58" max="58" width="11.42578125" bestFit="1" customWidth="1"/>
    <col min="59" max="59" width="13.140625" bestFit="1" customWidth="1"/>
    <col min="60" max="60" width="11.5703125" hidden="1" customWidth="1"/>
    <col min="61" max="62" width="10.7109375" hidden="1" customWidth="1"/>
    <col min="63" max="63" width="10.7109375" customWidth="1"/>
    <col min="64" max="64" width="14.42578125" customWidth="1"/>
  </cols>
  <sheetData>
    <row r="2" spans="2:64" ht="18.75" x14ac:dyDescent="0.3">
      <c r="B2" s="13" t="s">
        <v>58</v>
      </c>
    </row>
    <row r="3" spans="2:64" ht="18.75" x14ac:dyDescent="0.3">
      <c r="B3" s="13" t="s">
        <v>59</v>
      </c>
    </row>
    <row r="4" spans="2:64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2"/>
    </row>
    <row r="5" spans="2:64" s="5" customFormat="1" ht="15" customHeight="1" x14ac:dyDescent="0.25">
      <c r="B5" s="29" t="s">
        <v>0</v>
      </c>
      <c r="C5" s="29" t="s">
        <v>1</v>
      </c>
      <c r="D5" s="29" t="s">
        <v>2</v>
      </c>
      <c r="E5" s="29" t="s">
        <v>3</v>
      </c>
      <c r="F5" s="29" t="s">
        <v>4</v>
      </c>
      <c r="G5" s="29" t="s">
        <v>9</v>
      </c>
      <c r="H5" s="29" t="s">
        <v>123</v>
      </c>
      <c r="I5" s="29"/>
      <c r="J5" s="29"/>
      <c r="K5" s="29"/>
      <c r="L5" s="29" t="s">
        <v>124</v>
      </c>
      <c r="M5" s="29"/>
      <c r="N5" s="29"/>
      <c r="O5" s="29"/>
      <c r="P5" s="29" t="s">
        <v>125</v>
      </c>
      <c r="Q5" s="29"/>
      <c r="R5" s="29"/>
      <c r="S5" s="29"/>
      <c r="T5" s="29" t="s">
        <v>122</v>
      </c>
      <c r="U5" s="29"/>
      <c r="V5" s="29"/>
      <c r="W5" s="29"/>
      <c r="X5" s="29" t="s">
        <v>126</v>
      </c>
      <c r="Y5" s="29"/>
      <c r="Z5" s="29"/>
      <c r="AA5" s="29"/>
      <c r="AB5" s="29" t="s">
        <v>127</v>
      </c>
      <c r="AC5" s="29"/>
      <c r="AD5" s="29"/>
      <c r="AE5" s="29"/>
      <c r="AF5" s="29" t="s">
        <v>128</v>
      </c>
      <c r="AG5" s="29"/>
      <c r="AH5" s="29"/>
      <c r="AI5" s="29"/>
      <c r="AJ5" s="29" t="s">
        <v>129</v>
      </c>
      <c r="AK5" s="29"/>
      <c r="AL5" s="29"/>
      <c r="AM5" s="29"/>
      <c r="AN5" s="29" t="s">
        <v>130</v>
      </c>
      <c r="AO5" s="29"/>
      <c r="AP5" s="29"/>
      <c r="AQ5" s="29"/>
      <c r="AR5" s="29" t="s">
        <v>131</v>
      </c>
      <c r="AS5" s="29"/>
      <c r="AT5" s="29"/>
      <c r="AU5" s="29"/>
      <c r="AV5" s="29" t="s">
        <v>132</v>
      </c>
      <c r="AW5" s="29"/>
      <c r="AX5" s="29"/>
      <c r="AY5" s="29"/>
      <c r="AZ5" s="29" t="s">
        <v>133</v>
      </c>
      <c r="BA5" s="29"/>
      <c r="BB5" s="29"/>
      <c r="BC5" s="29"/>
      <c r="BD5" s="29" t="s">
        <v>136</v>
      </c>
      <c r="BE5" s="29"/>
      <c r="BF5" s="29"/>
      <c r="BG5" s="29"/>
      <c r="BH5" s="30" t="s">
        <v>138</v>
      </c>
      <c r="BI5" s="31"/>
      <c r="BJ5" s="32"/>
      <c r="BK5" s="29" t="s">
        <v>134</v>
      </c>
      <c r="BL5" s="29" t="s">
        <v>56</v>
      </c>
    </row>
    <row r="6" spans="2:64" s="5" customFormat="1" ht="15" customHeight="1" x14ac:dyDescent="0.25">
      <c r="B6" s="29"/>
      <c r="C6" s="29"/>
      <c r="D6" s="29"/>
      <c r="E6" s="29"/>
      <c r="F6" s="29"/>
      <c r="G6" s="29"/>
      <c r="H6" s="29" t="s">
        <v>5</v>
      </c>
      <c r="I6" s="29"/>
      <c r="J6" s="29" t="s">
        <v>57</v>
      </c>
      <c r="K6" s="29"/>
      <c r="L6" s="29" t="s">
        <v>5</v>
      </c>
      <c r="M6" s="29"/>
      <c r="N6" s="29" t="s">
        <v>57</v>
      </c>
      <c r="O6" s="29"/>
      <c r="P6" s="29" t="s">
        <v>5</v>
      </c>
      <c r="Q6" s="29"/>
      <c r="R6" s="29" t="s">
        <v>57</v>
      </c>
      <c r="S6" s="29"/>
      <c r="T6" s="29" t="s">
        <v>5</v>
      </c>
      <c r="U6" s="29"/>
      <c r="V6" s="29" t="s">
        <v>57</v>
      </c>
      <c r="W6" s="29"/>
      <c r="X6" s="29" t="s">
        <v>5</v>
      </c>
      <c r="Y6" s="29"/>
      <c r="Z6" s="29" t="s">
        <v>57</v>
      </c>
      <c r="AA6" s="29"/>
      <c r="AB6" s="29" t="s">
        <v>5</v>
      </c>
      <c r="AC6" s="29"/>
      <c r="AD6" s="29" t="s">
        <v>57</v>
      </c>
      <c r="AE6" s="29"/>
      <c r="AF6" s="29" t="s">
        <v>5</v>
      </c>
      <c r="AG6" s="29"/>
      <c r="AH6" s="29" t="s">
        <v>57</v>
      </c>
      <c r="AI6" s="29"/>
      <c r="AJ6" s="29" t="s">
        <v>5</v>
      </c>
      <c r="AK6" s="29"/>
      <c r="AL6" s="29" t="s">
        <v>57</v>
      </c>
      <c r="AM6" s="29"/>
      <c r="AN6" s="29" t="s">
        <v>5</v>
      </c>
      <c r="AO6" s="29"/>
      <c r="AP6" s="29" t="s">
        <v>57</v>
      </c>
      <c r="AQ6" s="29"/>
      <c r="AR6" s="29" t="s">
        <v>5</v>
      </c>
      <c r="AS6" s="29"/>
      <c r="AT6" s="29" t="s">
        <v>57</v>
      </c>
      <c r="AU6" s="29"/>
      <c r="AV6" s="29" t="s">
        <v>5</v>
      </c>
      <c r="AW6" s="29"/>
      <c r="AX6" s="29" t="s">
        <v>57</v>
      </c>
      <c r="AY6" s="29"/>
      <c r="AZ6" s="29" t="s">
        <v>5</v>
      </c>
      <c r="BA6" s="29"/>
      <c r="BB6" s="29" t="s">
        <v>57</v>
      </c>
      <c r="BC6" s="29"/>
      <c r="BD6" s="29" t="s">
        <v>5</v>
      </c>
      <c r="BE6" s="29"/>
      <c r="BF6" s="29" t="s">
        <v>57</v>
      </c>
      <c r="BG6" s="29"/>
      <c r="BH6" s="33"/>
      <c r="BI6" s="34"/>
      <c r="BJ6" s="35"/>
      <c r="BK6" s="29"/>
      <c r="BL6" s="29"/>
    </row>
    <row r="7" spans="2:64" s="5" customFormat="1" x14ac:dyDescent="0.25">
      <c r="B7" s="29"/>
      <c r="C7" s="29"/>
      <c r="D7" s="29"/>
      <c r="E7" s="29"/>
      <c r="F7" s="29"/>
      <c r="G7" s="29"/>
      <c r="H7" s="4" t="s">
        <v>134</v>
      </c>
      <c r="I7" s="4" t="s">
        <v>135</v>
      </c>
      <c r="J7" s="4" t="s">
        <v>134</v>
      </c>
      <c r="K7" s="4" t="s">
        <v>135</v>
      </c>
      <c r="L7" s="4" t="s">
        <v>134</v>
      </c>
      <c r="M7" s="4" t="s">
        <v>135</v>
      </c>
      <c r="N7" s="4" t="s">
        <v>134</v>
      </c>
      <c r="O7" s="4" t="s">
        <v>135</v>
      </c>
      <c r="P7" s="4" t="s">
        <v>134</v>
      </c>
      <c r="Q7" s="4" t="s">
        <v>135</v>
      </c>
      <c r="R7" s="4" t="s">
        <v>134</v>
      </c>
      <c r="S7" s="4" t="s">
        <v>135</v>
      </c>
      <c r="T7" s="4" t="s">
        <v>134</v>
      </c>
      <c r="U7" s="4" t="s">
        <v>135</v>
      </c>
      <c r="V7" s="4" t="s">
        <v>134</v>
      </c>
      <c r="W7" s="4" t="s">
        <v>135</v>
      </c>
      <c r="X7" s="4" t="s">
        <v>134</v>
      </c>
      <c r="Y7" s="4" t="s">
        <v>135</v>
      </c>
      <c r="Z7" s="4" t="s">
        <v>134</v>
      </c>
      <c r="AA7" s="4" t="s">
        <v>135</v>
      </c>
      <c r="AB7" s="4" t="s">
        <v>134</v>
      </c>
      <c r="AC7" s="4" t="s">
        <v>135</v>
      </c>
      <c r="AD7" s="4" t="s">
        <v>134</v>
      </c>
      <c r="AE7" s="4" t="s">
        <v>135</v>
      </c>
      <c r="AF7" s="4" t="s">
        <v>134</v>
      </c>
      <c r="AG7" s="4" t="s">
        <v>135</v>
      </c>
      <c r="AH7" s="4" t="s">
        <v>134</v>
      </c>
      <c r="AI7" s="4" t="s">
        <v>135</v>
      </c>
      <c r="AJ7" s="4" t="s">
        <v>134</v>
      </c>
      <c r="AK7" s="4" t="s">
        <v>135</v>
      </c>
      <c r="AL7" s="4" t="s">
        <v>134</v>
      </c>
      <c r="AM7" s="4" t="s">
        <v>135</v>
      </c>
      <c r="AN7" s="4" t="s">
        <v>134</v>
      </c>
      <c r="AO7" s="4" t="s">
        <v>135</v>
      </c>
      <c r="AP7" s="4" t="s">
        <v>134</v>
      </c>
      <c r="AQ7" s="4" t="s">
        <v>135</v>
      </c>
      <c r="AR7" s="4" t="s">
        <v>134</v>
      </c>
      <c r="AS7" s="4" t="s">
        <v>135</v>
      </c>
      <c r="AT7" s="4" t="s">
        <v>134</v>
      </c>
      <c r="AU7" s="4" t="s">
        <v>135</v>
      </c>
      <c r="AV7" s="4" t="s">
        <v>134</v>
      </c>
      <c r="AW7" s="4" t="s">
        <v>135</v>
      </c>
      <c r="AX7" s="4" t="s">
        <v>134</v>
      </c>
      <c r="AY7" s="4" t="s">
        <v>135</v>
      </c>
      <c r="AZ7" s="4" t="s">
        <v>134</v>
      </c>
      <c r="BA7" s="4" t="s">
        <v>135</v>
      </c>
      <c r="BB7" s="4" t="s">
        <v>134</v>
      </c>
      <c r="BC7" s="4" t="s">
        <v>135</v>
      </c>
      <c r="BD7" s="4" t="s">
        <v>134</v>
      </c>
      <c r="BE7" s="4" t="s">
        <v>135</v>
      </c>
      <c r="BF7" s="4" t="s">
        <v>134</v>
      </c>
      <c r="BG7" s="4" t="s">
        <v>135</v>
      </c>
      <c r="BH7" s="4" t="s">
        <v>6</v>
      </c>
      <c r="BI7" s="4" t="s">
        <v>7</v>
      </c>
      <c r="BJ7" s="4" t="s">
        <v>8</v>
      </c>
      <c r="BK7" s="29"/>
      <c r="BL7" s="29"/>
    </row>
    <row r="8" spans="2:64" hidden="1" x14ac:dyDescent="0.25">
      <c r="B8" s="14">
        <f>SUBTOTAL(3,$C$8:C8)</f>
        <v>0</v>
      </c>
      <c r="C8" s="15" t="s">
        <v>119</v>
      </c>
      <c r="D8" s="15" t="s">
        <v>11</v>
      </c>
      <c r="E8" s="15" t="s">
        <v>12</v>
      </c>
      <c r="F8" s="15" t="s">
        <v>29</v>
      </c>
      <c r="G8" s="15"/>
      <c r="H8" s="21">
        <v>3200</v>
      </c>
      <c r="I8" s="21">
        <v>7076</v>
      </c>
      <c r="J8" s="21"/>
      <c r="K8" s="21">
        <v>0</v>
      </c>
      <c r="L8" s="21">
        <v>3200</v>
      </c>
      <c r="M8" s="21"/>
      <c r="N8" s="21"/>
      <c r="O8" s="21">
        <v>0</v>
      </c>
      <c r="P8" s="21">
        <v>2550</v>
      </c>
      <c r="Q8" s="21">
        <v>1905</v>
      </c>
      <c r="R8" s="21"/>
      <c r="S8" s="21">
        <v>174</v>
      </c>
      <c r="T8" s="21">
        <v>2910</v>
      </c>
      <c r="U8" s="21"/>
      <c r="V8" s="21">
        <v>0</v>
      </c>
      <c r="W8" s="21"/>
      <c r="X8" s="21">
        <v>3270</v>
      </c>
      <c r="Y8" s="21"/>
      <c r="Z8" s="21"/>
      <c r="AA8" s="21"/>
      <c r="AB8" s="21">
        <v>3270</v>
      </c>
      <c r="AC8" s="21"/>
      <c r="AD8" s="21"/>
      <c r="AE8" s="21"/>
      <c r="AF8" s="21">
        <v>3270</v>
      </c>
      <c r="AG8" s="21"/>
      <c r="AH8" s="21"/>
      <c r="AI8" s="21"/>
      <c r="AJ8" s="21">
        <v>3270</v>
      </c>
      <c r="AK8" s="21"/>
      <c r="AL8" s="21"/>
      <c r="AM8" s="21"/>
      <c r="AN8" s="21">
        <v>3270</v>
      </c>
      <c r="AO8" s="21"/>
      <c r="AP8" s="21"/>
      <c r="AQ8" s="21"/>
      <c r="AR8" s="21">
        <v>3090</v>
      </c>
      <c r="AS8" s="21"/>
      <c r="AT8" s="21"/>
      <c r="AU8" s="21"/>
      <c r="AV8" s="21">
        <v>2910</v>
      </c>
      <c r="AW8" s="21"/>
      <c r="AX8" s="21"/>
      <c r="AY8" s="21"/>
      <c r="AZ8" s="21">
        <v>2090</v>
      </c>
      <c r="BA8" s="21"/>
      <c r="BB8" s="21"/>
      <c r="BC8" s="21"/>
      <c r="BD8" s="16">
        <f>H8+L8+P8+T8+X8+AB8+AF8+AJ8+AN8+AR8+AV8+AZ8</f>
        <v>36300</v>
      </c>
      <c r="BE8" s="16">
        <f t="shared" ref="BE8:BG23" si="0">I8+M8+Q8+U8+Y8+AC8+AG8+AK8+AO8+AS8+AW8+BA8</f>
        <v>8981</v>
      </c>
      <c r="BF8" s="16">
        <f t="shared" si="0"/>
        <v>0</v>
      </c>
      <c r="BG8" s="16">
        <f t="shared" si="0"/>
        <v>174</v>
      </c>
      <c r="BH8" s="16">
        <v>10000</v>
      </c>
      <c r="BI8" s="16">
        <v>7000</v>
      </c>
      <c r="BJ8" s="16">
        <v>5000</v>
      </c>
      <c r="BK8" s="16"/>
      <c r="BL8" s="3"/>
    </row>
    <row r="9" spans="2:64" hidden="1" x14ac:dyDescent="0.25">
      <c r="B9" s="14">
        <f>SUBTOTAL(3,$C$8:C9)</f>
        <v>0</v>
      </c>
      <c r="C9" s="15" t="s">
        <v>119</v>
      </c>
      <c r="D9" s="15" t="s">
        <v>11</v>
      </c>
      <c r="E9" s="15" t="s">
        <v>13</v>
      </c>
      <c r="F9" s="15" t="s">
        <v>29</v>
      </c>
      <c r="G9" s="15"/>
      <c r="H9" s="21">
        <v>2120</v>
      </c>
      <c r="I9" s="21">
        <v>991</v>
      </c>
      <c r="J9" s="21"/>
      <c r="K9" s="21">
        <v>0</v>
      </c>
      <c r="L9" s="21">
        <v>2120</v>
      </c>
      <c r="M9" s="21">
        <v>2386</v>
      </c>
      <c r="N9" s="21"/>
      <c r="O9" s="21">
        <v>968</v>
      </c>
      <c r="P9" s="21">
        <v>1680</v>
      </c>
      <c r="Q9" s="21">
        <v>1401</v>
      </c>
      <c r="R9" s="21"/>
      <c r="S9" s="21">
        <v>416</v>
      </c>
      <c r="T9" s="21">
        <v>1920</v>
      </c>
      <c r="U9" s="21"/>
      <c r="V9" s="21">
        <v>0</v>
      </c>
      <c r="W9" s="21"/>
      <c r="X9" s="21">
        <v>2160</v>
      </c>
      <c r="Y9" s="21"/>
      <c r="Z9" s="21"/>
      <c r="AA9" s="21"/>
      <c r="AB9" s="21">
        <v>2160</v>
      </c>
      <c r="AC9" s="21"/>
      <c r="AD9" s="21"/>
      <c r="AE9" s="21"/>
      <c r="AF9" s="21">
        <v>2160</v>
      </c>
      <c r="AG9" s="21"/>
      <c r="AH9" s="21"/>
      <c r="AI9" s="21"/>
      <c r="AJ9" s="21">
        <v>2160</v>
      </c>
      <c r="AK9" s="21"/>
      <c r="AL9" s="21"/>
      <c r="AM9" s="21"/>
      <c r="AN9" s="21">
        <v>2160</v>
      </c>
      <c r="AO9" s="21"/>
      <c r="AP9" s="21"/>
      <c r="AQ9" s="21"/>
      <c r="AR9" s="21">
        <v>2040</v>
      </c>
      <c r="AS9" s="21"/>
      <c r="AT9" s="21"/>
      <c r="AU9" s="21"/>
      <c r="AV9" s="21">
        <v>1920</v>
      </c>
      <c r="AW9" s="21"/>
      <c r="AX9" s="21"/>
      <c r="AY9" s="21"/>
      <c r="AZ9" s="21">
        <v>1400</v>
      </c>
      <c r="BA9" s="21"/>
      <c r="BB9" s="21"/>
      <c r="BC9" s="21"/>
      <c r="BD9" s="16">
        <f t="shared" ref="BD9:BG73" si="1">H9+L9+P9+T9+X9+AB9+AF9+AJ9+AN9+AR9+AV9+AZ9</f>
        <v>24000</v>
      </c>
      <c r="BE9" s="16">
        <f t="shared" si="0"/>
        <v>4778</v>
      </c>
      <c r="BF9" s="16">
        <f t="shared" si="0"/>
        <v>0</v>
      </c>
      <c r="BG9" s="16">
        <f t="shared" si="0"/>
        <v>1384</v>
      </c>
      <c r="BH9" s="16">
        <v>20000</v>
      </c>
      <c r="BI9" s="16">
        <v>15000</v>
      </c>
      <c r="BJ9" s="16">
        <v>10000</v>
      </c>
      <c r="BK9" s="16"/>
      <c r="BL9" s="3"/>
    </row>
    <row r="10" spans="2:64" hidden="1" x14ac:dyDescent="0.25">
      <c r="B10" s="14">
        <f>SUBTOTAL(3,$C$8:C10)</f>
        <v>0</v>
      </c>
      <c r="C10" s="15" t="s">
        <v>119</v>
      </c>
      <c r="D10" s="15" t="s">
        <v>11</v>
      </c>
      <c r="E10" s="15" t="s">
        <v>14</v>
      </c>
      <c r="F10" s="15" t="s">
        <v>29</v>
      </c>
      <c r="G10" s="15"/>
      <c r="H10" s="21">
        <v>2200</v>
      </c>
      <c r="I10" s="21"/>
      <c r="J10" s="21"/>
      <c r="K10" s="21"/>
      <c r="L10" s="21">
        <v>2200</v>
      </c>
      <c r="M10" s="21">
        <v>163</v>
      </c>
      <c r="N10" s="21"/>
      <c r="O10" s="21"/>
      <c r="P10" s="21">
        <v>1750</v>
      </c>
      <c r="Q10" s="21">
        <v>170</v>
      </c>
      <c r="R10" s="21"/>
      <c r="S10" s="21"/>
      <c r="T10" s="21">
        <v>2000</v>
      </c>
      <c r="U10" s="21"/>
      <c r="V10" s="21">
        <v>176</v>
      </c>
      <c r="W10" s="21"/>
      <c r="X10" s="21">
        <v>2250</v>
      </c>
      <c r="Y10" s="21"/>
      <c r="Z10" s="21"/>
      <c r="AA10" s="21"/>
      <c r="AB10" s="21">
        <v>2250</v>
      </c>
      <c r="AC10" s="21"/>
      <c r="AD10" s="21"/>
      <c r="AE10" s="21"/>
      <c r="AF10" s="21">
        <v>2250</v>
      </c>
      <c r="AG10" s="21"/>
      <c r="AH10" s="21"/>
      <c r="AI10" s="21"/>
      <c r="AJ10" s="21">
        <v>2250</v>
      </c>
      <c r="AK10" s="21"/>
      <c r="AL10" s="21"/>
      <c r="AM10" s="21"/>
      <c r="AN10" s="21">
        <v>2250</v>
      </c>
      <c r="AO10" s="21"/>
      <c r="AP10" s="21"/>
      <c r="AQ10" s="21"/>
      <c r="AR10" s="21">
        <v>2130</v>
      </c>
      <c r="AS10" s="21"/>
      <c r="AT10" s="21"/>
      <c r="AU10" s="21"/>
      <c r="AV10" s="21">
        <v>2000</v>
      </c>
      <c r="AW10" s="21"/>
      <c r="AX10" s="21"/>
      <c r="AY10" s="21"/>
      <c r="AZ10" s="21">
        <v>1470</v>
      </c>
      <c r="BA10" s="21"/>
      <c r="BB10" s="21"/>
      <c r="BC10" s="21"/>
      <c r="BD10" s="16">
        <f t="shared" si="1"/>
        <v>25000</v>
      </c>
      <c r="BE10" s="16">
        <f t="shared" si="0"/>
        <v>333</v>
      </c>
      <c r="BF10" s="16">
        <f t="shared" si="0"/>
        <v>176</v>
      </c>
      <c r="BG10" s="16">
        <f t="shared" si="0"/>
        <v>0</v>
      </c>
      <c r="BH10" s="16">
        <v>15000</v>
      </c>
      <c r="BI10" s="16">
        <v>10000</v>
      </c>
      <c r="BJ10" s="16">
        <v>5000</v>
      </c>
      <c r="BK10" s="16"/>
      <c r="BL10" s="7"/>
    </row>
    <row r="11" spans="2:64" hidden="1" x14ac:dyDescent="0.25">
      <c r="B11" s="14">
        <f>SUBTOTAL(3,$C$8:C11)</f>
        <v>0</v>
      </c>
      <c r="C11" s="15" t="s">
        <v>119</v>
      </c>
      <c r="D11" s="15" t="s">
        <v>11</v>
      </c>
      <c r="E11" s="15" t="s">
        <v>15</v>
      </c>
      <c r="F11" s="15" t="s">
        <v>29</v>
      </c>
      <c r="G11" s="15"/>
      <c r="H11" s="21">
        <v>2380</v>
      </c>
      <c r="I11" s="21">
        <v>254</v>
      </c>
      <c r="J11" s="21"/>
      <c r="K11" s="21">
        <v>0</v>
      </c>
      <c r="L11" s="21">
        <v>2380</v>
      </c>
      <c r="M11" s="21">
        <v>1597</v>
      </c>
      <c r="N11" s="21"/>
      <c r="O11" s="21">
        <v>1597</v>
      </c>
      <c r="P11" s="21">
        <v>1890</v>
      </c>
      <c r="Q11" s="21">
        <v>992</v>
      </c>
      <c r="R11" s="21"/>
      <c r="S11" s="21">
        <v>877</v>
      </c>
      <c r="T11" s="21">
        <v>2160</v>
      </c>
      <c r="U11" s="21"/>
      <c r="V11" s="21">
        <v>2000</v>
      </c>
      <c r="W11" s="21"/>
      <c r="X11" s="21">
        <v>2430</v>
      </c>
      <c r="Y11" s="21"/>
      <c r="Z11" s="21"/>
      <c r="AA11" s="21"/>
      <c r="AB11" s="21">
        <v>2430</v>
      </c>
      <c r="AC11" s="21"/>
      <c r="AD11" s="21"/>
      <c r="AE11" s="21"/>
      <c r="AF11" s="21">
        <v>2430</v>
      </c>
      <c r="AG11" s="21"/>
      <c r="AH11" s="21"/>
      <c r="AI11" s="21"/>
      <c r="AJ11" s="21">
        <v>2430</v>
      </c>
      <c r="AK11" s="21"/>
      <c r="AL11" s="21"/>
      <c r="AM11" s="21"/>
      <c r="AN11" s="21">
        <v>2430</v>
      </c>
      <c r="AO11" s="21"/>
      <c r="AP11" s="21"/>
      <c r="AQ11" s="21"/>
      <c r="AR11" s="21">
        <v>2300</v>
      </c>
      <c r="AS11" s="21"/>
      <c r="AT11" s="21"/>
      <c r="AU11" s="21"/>
      <c r="AV11" s="21">
        <v>2160</v>
      </c>
      <c r="AW11" s="21"/>
      <c r="AX11" s="21"/>
      <c r="AY11" s="21"/>
      <c r="AZ11" s="21">
        <v>1580</v>
      </c>
      <c r="BA11" s="21"/>
      <c r="BB11" s="21"/>
      <c r="BC11" s="21"/>
      <c r="BD11" s="16">
        <f t="shared" si="1"/>
        <v>27000</v>
      </c>
      <c r="BE11" s="16">
        <f t="shared" si="0"/>
        <v>2843</v>
      </c>
      <c r="BF11" s="16">
        <f t="shared" si="0"/>
        <v>2000</v>
      </c>
      <c r="BG11" s="16">
        <f t="shared" si="0"/>
        <v>2474</v>
      </c>
      <c r="BH11" s="16">
        <v>30000</v>
      </c>
      <c r="BI11" s="16">
        <v>20000</v>
      </c>
      <c r="BJ11" s="16">
        <v>15000</v>
      </c>
      <c r="BK11" s="16"/>
      <c r="BL11" s="7"/>
    </row>
    <row r="12" spans="2:64" hidden="1" x14ac:dyDescent="0.25">
      <c r="B12" s="14">
        <f>SUBTOTAL(3,$C$8:C12)</f>
        <v>0</v>
      </c>
      <c r="C12" s="15" t="s">
        <v>119</v>
      </c>
      <c r="D12" s="15" t="s">
        <v>11</v>
      </c>
      <c r="E12" s="15" t="s">
        <v>16</v>
      </c>
      <c r="F12" s="15" t="s">
        <v>29</v>
      </c>
      <c r="G12" s="15"/>
      <c r="H12" s="21">
        <v>2640</v>
      </c>
      <c r="I12" s="21"/>
      <c r="J12" s="21"/>
      <c r="K12" s="21">
        <v>0</v>
      </c>
      <c r="L12" s="21">
        <v>2640</v>
      </c>
      <c r="M12" s="21"/>
      <c r="N12" s="21"/>
      <c r="O12" s="21">
        <v>0</v>
      </c>
      <c r="P12" s="21">
        <v>2100</v>
      </c>
      <c r="Q12" s="21">
        <v>471</v>
      </c>
      <c r="R12" s="21"/>
      <c r="S12" s="21">
        <v>741</v>
      </c>
      <c r="T12" s="21">
        <v>2400</v>
      </c>
      <c r="U12" s="21"/>
      <c r="V12" s="21">
        <v>1498</v>
      </c>
      <c r="W12" s="21"/>
      <c r="X12" s="21">
        <v>2700</v>
      </c>
      <c r="Y12" s="21"/>
      <c r="Z12" s="21"/>
      <c r="AA12" s="21"/>
      <c r="AB12" s="21">
        <v>2700</v>
      </c>
      <c r="AC12" s="21"/>
      <c r="AD12" s="21"/>
      <c r="AE12" s="21"/>
      <c r="AF12" s="21">
        <v>2700</v>
      </c>
      <c r="AG12" s="21"/>
      <c r="AH12" s="21"/>
      <c r="AI12" s="21"/>
      <c r="AJ12" s="21">
        <v>2700</v>
      </c>
      <c r="AK12" s="21"/>
      <c r="AL12" s="21"/>
      <c r="AM12" s="21"/>
      <c r="AN12" s="21">
        <v>2700</v>
      </c>
      <c r="AO12" s="21"/>
      <c r="AP12" s="21"/>
      <c r="AQ12" s="21"/>
      <c r="AR12" s="21">
        <v>2550</v>
      </c>
      <c r="AS12" s="21"/>
      <c r="AT12" s="21"/>
      <c r="AU12" s="21"/>
      <c r="AV12" s="21">
        <v>2400</v>
      </c>
      <c r="AW12" s="21"/>
      <c r="AX12" s="21"/>
      <c r="AY12" s="21"/>
      <c r="AZ12" s="21">
        <v>1770</v>
      </c>
      <c r="BA12" s="21"/>
      <c r="BB12" s="21"/>
      <c r="BC12" s="21"/>
      <c r="BD12" s="16">
        <f t="shared" si="1"/>
        <v>30000</v>
      </c>
      <c r="BE12" s="16">
        <f t="shared" si="0"/>
        <v>471</v>
      </c>
      <c r="BF12" s="16">
        <f t="shared" si="0"/>
        <v>1498</v>
      </c>
      <c r="BG12" s="16">
        <f t="shared" si="0"/>
        <v>741</v>
      </c>
      <c r="BH12" s="16">
        <v>20000</v>
      </c>
      <c r="BI12" s="16">
        <v>15000</v>
      </c>
      <c r="BJ12" s="16">
        <v>10000</v>
      </c>
      <c r="BK12" s="16"/>
      <c r="BL12" s="7"/>
    </row>
    <row r="13" spans="2:64" hidden="1" x14ac:dyDescent="0.25">
      <c r="B13" s="14">
        <f>SUBTOTAL(3,$C$8:C13)</f>
        <v>0</v>
      </c>
      <c r="C13" s="15" t="s">
        <v>119</v>
      </c>
      <c r="D13" s="15" t="s">
        <v>11</v>
      </c>
      <c r="E13" s="15" t="s">
        <v>17</v>
      </c>
      <c r="F13" s="15" t="s">
        <v>29</v>
      </c>
      <c r="G13" s="15"/>
      <c r="H13" s="21">
        <v>1060</v>
      </c>
      <c r="I13" s="21"/>
      <c r="J13" s="21"/>
      <c r="K13" s="21"/>
      <c r="L13" s="21">
        <v>1060</v>
      </c>
      <c r="M13" s="21"/>
      <c r="N13" s="21"/>
      <c r="O13" s="21"/>
      <c r="P13" s="21">
        <v>840</v>
      </c>
      <c r="Q13" s="21">
        <v>1715</v>
      </c>
      <c r="R13" s="21"/>
      <c r="S13" s="21"/>
      <c r="T13" s="21">
        <v>960</v>
      </c>
      <c r="U13" s="21"/>
      <c r="V13" s="21">
        <v>0</v>
      </c>
      <c r="W13" s="21"/>
      <c r="X13" s="21">
        <v>1080</v>
      </c>
      <c r="Y13" s="21"/>
      <c r="Z13" s="21"/>
      <c r="AA13" s="21"/>
      <c r="AB13" s="21">
        <v>1080</v>
      </c>
      <c r="AC13" s="21"/>
      <c r="AD13" s="21"/>
      <c r="AE13" s="21"/>
      <c r="AF13" s="21">
        <v>1080</v>
      </c>
      <c r="AG13" s="21"/>
      <c r="AH13" s="21"/>
      <c r="AI13" s="21"/>
      <c r="AJ13" s="21">
        <v>1080</v>
      </c>
      <c r="AK13" s="21"/>
      <c r="AL13" s="21"/>
      <c r="AM13" s="21"/>
      <c r="AN13" s="21">
        <v>1080</v>
      </c>
      <c r="AO13" s="21"/>
      <c r="AP13" s="21"/>
      <c r="AQ13" s="21"/>
      <c r="AR13" s="21">
        <v>1020</v>
      </c>
      <c r="AS13" s="21"/>
      <c r="AT13" s="21"/>
      <c r="AU13" s="21"/>
      <c r="AV13" s="21">
        <v>960</v>
      </c>
      <c r="AW13" s="21"/>
      <c r="AX13" s="21"/>
      <c r="AY13" s="21"/>
      <c r="AZ13" s="21">
        <v>700</v>
      </c>
      <c r="BA13" s="21"/>
      <c r="BB13" s="21"/>
      <c r="BC13" s="21"/>
      <c r="BD13" s="16">
        <f t="shared" si="1"/>
        <v>12000</v>
      </c>
      <c r="BE13" s="16">
        <f t="shared" si="0"/>
        <v>1715</v>
      </c>
      <c r="BF13" s="16">
        <f t="shared" si="0"/>
        <v>0</v>
      </c>
      <c r="BG13" s="16">
        <f t="shared" si="0"/>
        <v>0</v>
      </c>
      <c r="BH13" s="16">
        <v>15000</v>
      </c>
      <c r="BI13" s="16">
        <v>10000</v>
      </c>
      <c r="BJ13" s="16">
        <v>10000</v>
      </c>
      <c r="BK13" s="16"/>
      <c r="BL13" s="7"/>
    </row>
    <row r="14" spans="2:64" hidden="1" x14ac:dyDescent="0.25">
      <c r="B14" s="14">
        <f>SUBTOTAL(3,$C$8:C14)</f>
        <v>0</v>
      </c>
      <c r="C14" s="15" t="s">
        <v>119</v>
      </c>
      <c r="D14" s="15" t="s">
        <v>11</v>
      </c>
      <c r="E14" s="17" t="s">
        <v>18</v>
      </c>
      <c r="F14" s="15" t="s">
        <v>29</v>
      </c>
      <c r="G14" s="15"/>
      <c r="H14" s="21">
        <v>880</v>
      </c>
      <c r="I14" s="21"/>
      <c r="J14" s="21"/>
      <c r="K14" s="21"/>
      <c r="L14" s="21">
        <v>880</v>
      </c>
      <c r="M14" s="21">
        <v>548</v>
      </c>
      <c r="N14" s="21"/>
      <c r="O14" s="21"/>
      <c r="P14" s="21">
        <v>700</v>
      </c>
      <c r="Q14" s="21">
        <v>668</v>
      </c>
      <c r="R14" s="21"/>
      <c r="S14" s="21"/>
      <c r="T14" s="21">
        <v>800</v>
      </c>
      <c r="U14" s="21"/>
      <c r="V14" s="21"/>
      <c r="W14" s="21"/>
      <c r="X14" s="21">
        <v>900</v>
      </c>
      <c r="Y14" s="21"/>
      <c r="Z14" s="21"/>
      <c r="AA14" s="21"/>
      <c r="AB14" s="21">
        <v>900</v>
      </c>
      <c r="AC14" s="21"/>
      <c r="AD14" s="21"/>
      <c r="AE14" s="21"/>
      <c r="AF14" s="21">
        <v>900</v>
      </c>
      <c r="AG14" s="21"/>
      <c r="AH14" s="21"/>
      <c r="AI14" s="21"/>
      <c r="AJ14" s="21">
        <v>900</v>
      </c>
      <c r="AK14" s="21"/>
      <c r="AL14" s="21"/>
      <c r="AM14" s="21"/>
      <c r="AN14" s="21">
        <v>900</v>
      </c>
      <c r="AO14" s="21"/>
      <c r="AP14" s="21"/>
      <c r="AQ14" s="21"/>
      <c r="AR14" s="21">
        <v>850</v>
      </c>
      <c r="AS14" s="21"/>
      <c r="AT14" s="21"/>
      <c r="AU14" s="21"/>
      <c r="AV14" s="21">
        <v>800</v>
      </c>
      <c r="AW14" s="21"/>
      <c r="AX14" s="21"/>
      <c r="AY14" s="21"/>
      <c r="AZ14" s="21">
        <v>590</v>
      </c>
      <c r="BA14" s="21"/>
      <c r="BB14" s="21"/>
      <c r="BC14" s="21"/>
      <c r="BD14" s="16">
        <f t="shared" si="1"/>
        <v>10000</v>
      </c>
      <c r="BE14" s="16">
        <f t="shared" si="0"/>
        <v>1216</v>
      </c>
      <c r="BF14" s="16">
        <f t="shared" si="0"/>
        <v>0</v>
      </c>
      <c r="BG14" s="16">
        <f t="shared" si="0"/>
        <v>0</v>
      </c>
      <c r="BH14" s="16">
        <v>10000</v>
      </c>
      <c r="BI14" s="16">
        <v>8000</v>
      </c>
      <c r="BJ14" s="16">
        <v>5000</v>
      </c>
      <c r="BK14" s="16"/>
      <c r="BL14" s="7"/>
    </row>
    <row r="15" spans="2:64" hidden="1" x14ac:dyDescent="0.25">
      <c r="B15" s="14">
        <f>SUBTOTAL(3,$C$8:C15)</f>
        <v>0</v>
      </c>
      <c r="C15" s="15" t="s">
        <v>119</v>
      </c>
      <c r="D15" s="15" t="s">
        <v>11</v>
      </c>
      <c r="E15" s="18" t="s">
        <v>19</v>
      </c>
      <c r="F15" s="15" t="s">
        <v>29</v>
      </c>
      <c r="G15" s="15"/>
      <c r="H15" s="21">
        <v>8450</v>
      </c>
      <c r="I15" s="21">
        <v>1058</v>
      </c>
      <c r="J15" s="21"/>
      <c r="K15" s="21"/>
      <c r="L15" s="21">
        <v>8450</v>
      </c>
      <c r="M15" s="21"/>
      <c r="N15" s="21"/>
      <c r="O15" s="21"/>
      <c r="P15" s="21">
        <v>6720</v>
      </c>
      <c r="Q15" s="21">
        <v>382</v>
      </c>
      <c r="R15" s="21"/>
      <c r="S15" s="21"/>
      <c r="T15" s="21">
        <v>7680</v>
      </c>
      <c r="U15" s="21"/>
      <c r="V15" s="21">
        <v>0</v>
      </c>
      <c r="W15" s="21"/>
      <c r="X15" s="21">
        <v>8640</v>
      </c>
      <c r="Y15" s="21"/>
      <c r="Z15" s="21"/>
      <c r="AA15" s="21"/>
      <c r="AB15" s="21">
        <v>8640</v>
      </c>
      <c r="AC15" s="21"/>
      <c r="AD15" s="21"/>
      <c r="AE15" s="21"/>
      <c r="AF15" s="21">
        <v>8640</v>
      </c>
      <c r="AG15" s="21"/>
      <c r="AH15" s="21"/>
      <c r="AI15" s="21"/>
      <c r="AJ15" s="21">
        <v>8640</v>
      </c>
      <c r="AK15" s="21"/>
      <c r="AL15" s="21"/>
      <c r="AM15" s="21"/>
      <c r="AN15" s="21">
        <v>8640</v>
      </c>
      <c r="AO15" s="21"/>
      <c r="AP15" s="21"/>
      <c r="AQ15" s="21"/>
      <c r="AR15" s="21">
        <v>8160</v>
      </c>
      <c r="AS15" s="21"/>
      <c r="AT15" s="21"/>
      <c r="AU15" s="21"/>
      <c r="AV15" s="21">
        <v>7680</v>
      </c>
      <c r="AW15" s="21"/>
      <c r="AX15" s="21"/>
      <c r="AY15" s="21"/>
      <c r="AZ15" s="21">
        <v>5660</v>
      </c>
      <c r="BA15" s="21"/>
      <c r="BB15" s="21"/>
      <c r="BC15" s="21"/>
      <c r="BD15" s="16">
        <f t="shared" si="1"/>
        <v>96000</v>
      </c>
      <c r="BE15" s="16">
        <f t="shared" si="0"/>
        <v>1440</v>
      </c>
      <c r="BF15" s="16">
        <f t="shared" si="0"/>
        <v>0</v>
      </c>
      <c r="BG15" s="16">
        <f t="shared" si="0"/>
        <v>0</v>
      </c>
      <c r="BH15" s="16">
        <v>30000</v>
      </c>
      <c r="BI15" s="16">
        <v>20000</v>
      </c>
      <c r="BJ15" s="16">
        <v>10000</v>
      </c>
      <c r="BK15" s="16"/>
      <c r="BL15" s="7" t="s">
        <v>62</v>
      </c>
    </row>
    <row r="16" spans="2:64" hidden="1" x14ac:dyDescent="0.25">
      <c r="B16" s="14">
        <f>SUBTOTAL(3,$C$8:C16)</f>
        <v>0</v>
      </c>
      <c r="C16" s="15" t="s">
        <v>119</v>
      </c>
      <c r="D16" s="15" t="s">
        <v>11</v>
      </c>
      <c r="E16" s="18" t="s">
        <v>20</v>
      </c>
      <c r="F16" s="15" t="s">
        <v>29</v>
      </c>
      <c r="G16" s="15"/>
      <c r="H16" s="21">
        <v>8450</v>
      </c>
      <c r="I16" s="21">
        <v>2833</v>
      </c>
      <c r="J16" s="21"/>
      <c r="K16" s="21"/>
      <c r="L16" s="21">
        <v>8450</v>
      </c>
      <c r="M16" s="21"/>
      <c r="N16" s="21"/>
      <c r="O16" s="21"/>
      <c r="P16" s="21">
        <v>6720</v>
      </c>
      <c r="Q16" s="21">
        <v>3975</v>
      </c>
      <c r="R16" s="21"/>
      <c r="S16" s="21"/>
      <c r="T16" s="21">
        <v>7680</v>
      </c>
      <c r="U16" s="21"/>
      <c r="V16" s="21"/>
      <c r="W16" s="21"/>
      <c r="X16" s="21">
        <v>8640</v>
      </c>
      <c r="Y16" s="21"/>
      <c r="Z16" s="21"/>
      <c r="AA16" s="21"/>
      <c r="AB16" s="21">
        <v>8640</v>
      </c>
      <c r="AC16" s="21"/>
      <c r="AD16" s="21"/>
      <c r="AE16" s="21"/>
      <c r="AF16" s="21">
        <v>8640</v>
      </c>
      <c r="AG16" s="21"/>
      <c r="AH16" s="21"/>
      <c r="AI16" s="21"/>
      <c r="AJ16" s="21">
        <v>8640</v>
      </c>
      <c r="AK16" s="21"/>
      <c r="AL16" s="21"/>
      <c r="AM16" s="21"/>
      <c r="AN16" s="21">
        <v>8640</v>
      </c>
      <c r="AO16" s="21"/>
      <c r="AP16" s="21"/>
      <c r="AQ16" s="21"/>
      <c r="AR16" s="21">
        <v>8160</v>
      </c>
      <c r="AS16" s="21"/>
      <c r="AT16" s="21"/>
      <c r="AU16" s="21"/>
      <c r="AV16" s="21">
        <v>7680</v>
      </c>
      <c r="AW16" s="21"/>
      <c r="AX16" s="21"/>
      <c r="AY16" s="21"/>
      <c r="AZ16" s="21">
        <v>5660</v>
      </c>
      <c r="BA16" s="21"/>
      <c r="BB16" s="21"/>
      <c r="BC16" s="21"/>
      <c r="BD16" s="16">
        <f t="shared" si="1"/>
        <v>96000</v>
      </c>
      <c r="BE16" s="16">
        <f t="shared" si="0"/>
        <v>6808</v>
      </c>
      <c r="BF16" s="16">
        <f t="shared" si="0"/>
        <v>0</v>
      </c>
      <c r="BG16" s="16">
        <f t="shared" si="0"/>
        <v>0</v>
      </c>
      <c r="BH16" s="16">
        <v>30000</v>
      </c>
      <c r="BI16" s="16">
        <v>20000</v>
      </c>
      <c r="BJ16" s="16">
        <v>10000</v>
      </c>
      <c r="BK16" s="16"/>
      <c r="BL16" s="7" t="s">
        <v>62</v>
      </c>
    </row>
    <row r="17" spans="2:64" hidden="1" x14ac:dyDescent="0.25">
      <c r="B17" s="14">
        <f>SUBTOTAL(3,$C$8:C17)</f>
        <v>0</v>
      </c>
      <c r="C17" s="15" t="s">
        <v>119</v>
      </c>
      <c r="D17" s="15" t="s">
        <v>11</v>
      </c>
      <c r="E17" s="15" t="s">
        <v>21</v>
      </c>
      <c r="F17" s="15" t="s">
        <v>29</v>
      </c>
      <c r="G17" s="15"/>
      <c r="H17" s="21">
        <v>1150</v>
      </c>
      <c r="I17" s="21">
        <v>428</v>
      </c>
      <c r="J17" s="21"/>
      <c r="K17" s="21"/>
      <c r="L17" s="21">
        <v>1150</v>
      </c>
      <c r="M17" s="21"/>
      <c r="N17" s="21"/>
      <c r="O17" s="21"/>
      <c r="P17" s="21">
        <v>910</v>
      </c>
      <c r="Q17" s="21">
        <v>554</v>
      </c>
      <c r="R17" s="21"/>
      <c r="S17" s="21"/>
      <c r="T17" s="21">
        <v>1040</v>
      </c>
      <c r="U17" s="21"/>
      <c r="V17" s="21">
        <v>0</v>
      </c>
      <c r="W17" s="21"/>
      <c r="X17" s="21">
        <v>1170</v>
      </c>
      <c r="Y17" s="21"/>
      <c r="Z17" s="21"/>
      <c r="AA17" s="21"/>
      <c r="AB17" s="21">
        <v>1170</v>
      </c>
      <c r="AC17" s="21"/>
      <c r="AD17" s="21"/>
      <c r="AE17" s="21"/>
      <c r="AF17" s="21">
        <v>1170</v>
      </c>
      <c r="AG17" s="21"/>
      <c r="AH17" s="21"/>
      <c r="AI17" s="21"/>
      <c r="AJ17" s="21">
        <v>1170</v>
      </c>
      <c r="AK17" s="21"/>
      <c r="AL17" s="21"/>
      <c r="AM17" s="21"/>
      <c r="AN17" s="21">
        <v>1170</v>
      </c>
      <c r="AO17" s="21"/>
      <c r="AP17" s="21"/>
      <c r="AQ17" s="21"/>
      <c r="AR17" s="21">
        <v>1110</v>
      </c>
      <c r="AS17" s="21"/>
      <c r="AT17" s="21"/>
      <c r="AU17" s="21"/>
      <c r="AV17" s="21">
        <v>1040</v>
      </c>
      <c r="AW17" s="21"/>
      <c r="AX17" s="21"/>
      <c r="AY17" s="21"/>
      <c r="AZ17" s="21">
        <v>750</v>
      </c>
      <c r="BA17" s="21"/>
      <c r="BB17" s="21"/>
      <c r="BC17" s="21"/>
      <c r="BD17" s="16">
        <f t="shared" si="1"/>
        <v>13000</v>
      </c>
      <c r="BE17" s="16">
        <f t="shared" si="0"/>
        <v>982</v>
      </c>
      <c r="BF17" s="16">
        <f t="shared" si="0"/>
        <v>0</v>
      </c>
      <c r="BG17" s="16">
        <f t="shared" si="0"/>
        <v>0</v>
      </c>
      <c r="BH17" s="16">
        <v>15000</v>
      </c>
      <c r="BI17" s="16">
        <v>10000</v>
      </c>
      <c r="BJ17" s="16">
        <v>5000</v>
      </c>
      <c r="BK17" s="16"/>
      <c r="BL17" s="7"/>
    </row>
    <row r="18" spans="2:64" hidden="1" x14ac:dyDescent="0.25">
      <c r="B18" s="14">
        <f>SUBTOTAL(3,$C$8:C18)</f>
        <v>0</v>
      </c>
      <c r="C18" s="15" t="s">
        <v>119</v>
      </c>
      <c r="D18" s="15" t="s">
        <v>11</v>
      </c>
      <c r="E18" s="15" t="s">
        <v>22</v>
      </c>
      <c r="F18" s="15" t="s">
        <v>29</v>
      </c>
      <c r="G18" s="15"/>
      <c r="H18" s="21">
        <v>1060</v>
      </c>
      <c r="I18" s="21">
        <v>134</v>
      </c>
      <c r="J18" s="21"/>
      <c r="K18" s="21">
        <v>134</v>
      </c>
      <c r="L18" s="21">
        <v>1060</v>
      </c>
      <c r="M18" s="21">
        <v>674</v>
      </c>
      <c r="N18" s="21"/>
      <c r="O18" s="21">
        <v>406</v>
      </c>
      <c r="P18" s="21">
        <v>840</v>
      </c>
      <c r="Q18" s="21">
        <v>454</v>
      </c>
      <c r="R18" s="21"/>
      <c r="S18" s="21">
        <v>184</v>
      </c>
      <c r="T18" s="21">
        <v>960</v>
      </c>
      <c r="U18" s="21"/>
      <c r="V18" s="21">
        <v>762</v>
      </c>
      <c r="W18" s="21"/>
      <c r="X18" s="21">
        <v>1080</v>
      </c>
      <c r="Y18" s="21"/>
      <c r="Z18" s="21"/>
      <c r="AA18" s="21"/>
      <c r="AB18" s="21">
        <v>1080</v>
      </c>
      <c r="AC18" s="21"/>
      <c r="AD18" s="21"/>
      <c r="AE18" s="21"/>
      <c r="AF18" s="21">
        <v>1080</v>
      </c>
      <c r="AG18" s="21"/>
      <c r="AH18" s="21"/>
      <c r="AI18" s="21"/>
      <c r="AJ18" s="21">
        <v>1080</v>
      </c>
      <c r="AK18" s="21"/>
      <c r="AL18" s="21"/>
      <c r="AM18" s="21"/>
      <c r="AN18" s="21">
        <v>1080</v>
      </c>
      <c r="AO18" s="21"/>
      <c r="AP18" s="21"/>
      <c r="AQ18" s="21"/>
      <c r="AR18" s="21">
        <v>1020</v>
      </c>
      <c r="AS18" s="21"/>
      <c r="AT18" s="21"/>
      <c r="AU18" s="21"/>
      <c r="AV18" s="21">
        <v>960</v>
      </c>
      <c r="AW18" s="21"/>
      <c r="AX18" s="21"/>
      <c r="AY18" s="21"/>
      <c r="AZ18" s="21">
        <v>700</v>
      </c>
      <c r="BA18" s="21"/>
      <c r="BB18" s="21"/>
      <c r="BC18" s="21"/>
      <c r="BD18" s="16">
        <f t="shared" si="1"/>
        <v>12000</v>
      </c>
      <c r="BE18" s="16">
        <f t="shared" si="0"/>
        <v>1262</v>
      </c>
      <c r="BF18" s="16">
        <f t="shared" si="0"/>
        <v>762</v>
      </c>
      <c r="BG18" s="16">
        <f t="shared" si="0"/>
        <v>724</v>
      </c>
      <c r="BH18" s="16">
        <v>20000</v>
      </c>
      <c r="BI18" s="16">
        <v>15000</v>
      </c>
      <c r="BJ18" s="16">
        <v>10000</v>
      </c>
      <c r="BK18" s="16"/>
      <c r="BL18" s="7"/>
    </row>
    <row r="19" spans="2:64" hidden="1" x14ac:dyDescent="0.25">
      <c r="B19" s="14">
        <f>SUBTOTAL(3,$C$8:C19)</f>
        <v>0</v>
      </c>
      <c r="C19" s="15" t="s">
        <v>119</v>
      </c>
      <c r="D19" s="15" t="s">
        <v>11</v>
      </c>
      <c r="E19" s="15" t="s">
        <v>23</v>
      </c>
      <c r="F19" s="15" t="s">
        <v>29</v>
      </c>
      <c r="G19" s="15"/>
      <c r="H19" s="21">
        <v>880</v>
      </c>
      <c r="I19" s="21"/>
      <c r="J19" s="21"/>
      <c r="K19" s="21">
        <v>0</v>
      </c>
      <c r="L19" s="21">
        <v>880</v>
      </c>
      <c r="M19" s="21">
        <v>699</v>
      </c>
      <c r="N19" s="21"/>
      <c r="O19" s="21">
        <v>590</v>
      </c>
      <c r="P19" s="21">
        <v>700</v>
      </c>
      <c r="Q19" s="21">
        <v>1057</v>
      </c>
      <c r="R19" s="21"/>
      <c r="S19" s="21">
        <v>0</v>
      </c>
      <c r="T19" s="21">
        <v>800</v>
      </c>
      <c r="U19" s="21"/>
      <c r="V19" s="21">
        <v>1000</v>
      </c>
      <c r="W19" s="21"/>
      <c r="X19" s="21">
        <v>900</v>
      </c>
      <c r="Y19" s="21"/>
      <c r="Z19" s="21"/>
      <c r="AA19" s="21"/>
      <c r="AB19" s="21">
        <v>900</v>
      </c>
      <c r="AC19" s="21"/>
      <c r="AD19" s="21"/>
      <c r="AE19" s="21"/>
      <c r="AF19" s="21">
        <v>900</v>
      </c>
      <c r="AG19" s="21"/>
      <c r="AH19" s="21"/>
      <c r="AI19" s="21"/>
      <c r="AJ19" s="21">
        <v>900</v>
      </c>
      <c r="AK19" s="21"/>
      <c r="AL19" s="21"/>
      <c r="AM19" s="21"/>
      <c r="AN19" s="21">
        <v>900</v>
      </c>
      <c r="AO19" s="21"/>
      <c r="AP19" s="21"/>
      <c r="AQ19" s="21"/>
      <c r="AR19" s="21">
        <v>850</v>
      </c>
      <c r="AS19" s="21"/>
      <c r="AT19" s="21"/>
      <c r="AU19" s="21"/>
      <c r="AV19" s="21">
        <v>800</v>
      </c>
      <c r="AW19" s="21"/>
      <c r="AX19" s="21"/>
      <c r="AY19" s="21"/>
      <c r="AZ19" s="21">
        <v>590</v>
      </c>
      <c r="BA19" s="21"/>
      <c r="BB19" s="21"/>
      <c r="BC19" s="21"/>
      <c r="BD19" s="16">
        <f t="shared" si="1"/>
        <v>10000</v>
      </c>
      <c r="BE19" s="16">
        <f t="shared" si="0"/>
        <v>1756</v>
      </c>
      <c r="BF19" s="16">
        <f t="shared" si="0"/>
        <v>1000</v>
      </c>
      <c r="BG19" s="16">
        <f t="shared" si="0"/>
        <v>590</v>
      </c>
      <c r="BH19" s="16">
        <v>10000</v>
      </c>
      <c r="BI19" s="16">
        <v>5000</v>
      </c>
      <c r="BJ19" s="16">
        <v>5000</v>
      </c>
      <c r="BK19" s="16"/>
      <c r="BL19" s="7"/>
    </row>
    <row r="20" spans="2:64" hidden="1" x14ac:dyDescent="0.25">
      <c r="B20" s="14">
        <f>SUBTOTAL(3,$C$8:C20)</f>
        <v>0</v>
      </c>
      <c r="C20" s="15" t="s">
        <v>119</v>
      </c>
      <c r="D20" s="15" t="s">
        <v>11</v>
      </c>
      <c r="E20" s="18" t="s">
        <v>24</v>
      </c>
      <c r="F20" s="15" t="s">
        <v>29</v>
      </c>
      <c r="G20" s="15"/>
      <c r="H20" s="21">
        <v>1750</v>
      </c>
      <c r="I20" s="21">
        <v>2578</v>
      </c>
      <c r="J20" s="21"/>
      <c r="K20" s="21">
        <v>261</v>
      </c>
      <c r="L20" s="21">
        <v>1750</v>
      </c>
      <c r="M20" s="21">
        <v>4349</v>
      </c>
      <c r="N20" s="21"/>
      <c r="O20" s="21">
        <v>0</v>
      </c>
      <c r="P20" s="21">
        <v>1390</v>
      </c>
      <c r="Q20" s="21">
        <v>1620</v>
      </c>
      <c r="R20" s="21"/>
      <c r="S20" s="21">
        <v>0</v>
      </c>
      <c r="T20" s="21">
        <v>1590</v>
      </c>
      <c r="U20" s="21"/>
      <c r="V20" s="21">
        <v>1160</v>
      </c>
      <c r="W20" s="21"/>
      <c r="X20" s="21">
        <v>1790</v>
      </c>
      <c r="Y20" s="21"/>
      <c r="Z20" s="21"/>
      <c r="AA20" s="21"/>
      <c r="AB20" s="21">
        <v>1790</v>
      </c>
      <c r="AC20" s="21"/>
      <c r="AD20" s="21"/>
      <c r="AE20" s="21"/>
      <c r="AF20" s="21">
        <v>1790</v>
      </c>
      <c r="AG20" s="21"/>
      <c r="AH20" s="21"/>
      <c r="AI20" s="21"/>
      <c r="AJ20" s="21">
        <v>1790</v>
      </c>
      <c r="AK20" s="21"/>
      <c r="AL20" s="21"/>
      <c r="AM20" s="21"/>
      <c r="AN20" s="21">
        <v>1790</v>
      </c>
      <c r="AO20" s="21"/>
      <c r="AP20" s="21"/>
      <c r="AQ20" s="21"/>
      <c r="AR20" s="21">
        <v>1690</v>
      </c>
      <c r="AS20" s="21"/>
      <c r="AT20" s="21"/>
      <c r="AU20" s="21"/>
      <c r="AV20" s="21">
        <v>1590</v>
      </c>
      <c r="AW20" s="21"/>
      <c r="AX20" s="21"/>
      <c r="AY20" s="21"/>
      <c r="AZ20" s="21">
        <v>1090</v>
      </c>
      <c r="BA20" s="21"/>
      <c r="BB20" s="21"/>
      <c r="BC20" s="21"/>
      <c r="BD20" s="16">
        <f t="shared" si="1"/>
        <v>19800</v>
      </c>
      <c r="BE20" s="16">
        <f t="shared" si="0"/>
        <v>8547</v>
      </c>
      <c r="BF20" s="16">
        <f t="shared" si="0"/>
        <v>1160</v>
      </c>
      <c r="BG20" s="16">
        <f t="shared" si="0"/>
        <v>261</v>
      </c>
      <c r="BH20" s="16">
        <v>20000</v>
      </c>
      <c r="BI20" s="16">
        <v>15000</v>
      </c>
      <c r="BJ20" s="16">
        <v>10000</v>
      </c>
      <c r="BK20" s="16"/>
      <c r="BL20" s="7"/>
    </row>
    <row r="21" spans="2:64" hidden="1" x14ac:dyDescent="0.25">
      <c r="B21" s="14">
        <f>SUBTOTAL(3,$C$8:C21)</f>
        <v>0</v>
      </c>
      <c r="C21" s="15" t="s">
        <v>119</v>
      </c>
      <c r="D21" s="15" t="s">
        <v>11</v>
      </c>
      <c r="E21" s="15" t="s">
        <v>26</v>
      </c>
      <c r="F21" s="15" t="s">
        <v>29</v>
      </c>
      <c r="G21" s="15"/>
      <c r="H21" s="21">
        <v>1060</v>
      </c>
      <c r="I21" s="21">
        <v>164</v>
      </c>
      <c r="J21" s="21"/>
      <c r="K21" s="21"/>
      <c r="L21" s="21">
        <v>1060</v>
      </c>
      <c r="M21" s="21"/>
      <c r="N21" s="21"/>
      <c r="O21" s="21"/>
      <c r="P21" s="21">
        <v>840</v>
      </c>
      <c r="Q21" s="21">
        <v>299</v>
      </c>
      <c r="R21" s="21"/>
      <c r="S21" s="21"/>
      <c r="T21" s="21">
        <v>960</v>
      </c>
      <c r="U21" s="21"/>
      <c r="V21" s="21">
        <v>0</v>
      </c>
      <c r="W21" s="21"/>
      <c r="X21" s="21">
        <v>1080</v>
      </c>
      <c r="Y21" s="21"/>
      <c r="Z21" s="21"/>
      <c r="AA21" s="21"/>
      <c r="AB21" s="21">
        <v>1080</v>
      </c>
      <c r="AC21" s="21"/>
      <c r="AD21" s="21"/>
      <c r="AE21" s="21"/>
      <c r="AF21" s="21">
        <v>1080</v>
      </c>
      <c r="AG21" s="21"/>
      <c r="AH21" s="21"/>
      <c r="AI21" s="21"/>
      <c r="AJ21" s="21">
        <v>1080</v>
      </c>
      <c r="AK21" s="21"/>
      <c r="AL21" s="21"/>
      <c r="AM21" s="21"/>
      <c r="AN21" s="21">
        <v>1080</v>
      </c>
      <c r="AO21" s="21"/>
      <c r="AP21" s="21"/>
      <c r="AQ21" s="21"/>
      <c r="AR21" s="21">
        <v>1020</v>
      </c>
      <c r="AS21" s="21"/>
      <c r="AT21" s="21"/>
      <c r="AU21" s="21"/>
      <c r="AV21" s="21">
        <v>960</v>
      </c>
      <c r="AW21" s="21"/>
      <c r="AX21" s="21"/>
      <c r="AY21" s="21"/>
      <c r="AZ21" s="21">
        <v>700</v>
      </c>
      <c r="BA21" s="21"/>
      <c r="BB21" s="21"/>
      <c r="BC21" s="21"/>
      <c r="BD21" s="16">
        <f t="shared" si="1"/>
        <v>12000</v>
      </c>
      <c r="BE21" s="16">
        <f t="shared" si="0"/>
        <v>463</v>
      </c>
      <c r="BF21" s="16">
        <f t="shared" si="0"/>
        <v>0</v>
      </c>
      <c r="BG21" s="16">
        <f t="shared" si="0"/>
        <v>0</v>
      </c>
      <c r="BH21" s="16">
        <v>10000</v>
      </c>
      <c r="BI21" s="16">
        <v>7000</v>
      </c>
      <c r="BJ21" s="16">
        <v>5000</v>
      </c>
      <c r="BK21" s="16"/>
      <c r="BL21" s="7"/>
    </row>
    <row r="22" spans="2:64" hidden="1" x14ac:dyDescent="0.25">
      <c r="B22" s="14">
        <f>SUBTOTAL(3,$C$8:C22)</f>
        <v>0</v>
      </c>
      <c r="C22" s="15" t="s">
        <v>119</v>
      </c>
      <c r="D22" s="15" t="s">
        <v>11</v>
      </c>
      <c r="E22" s="15" t="s">
        <v>27</v>
      </c>
      <c r="F22" s="15" t="s">
        <v>29</v>
      </c>
      <c r="G22" s="15"/>
      <c r="H22" s="21">
        <v>1060</v>
      </c>
      <c r="I22" s="21">
        <v>183</v>
      </c>
      <c r="J22" s="21"/>
      <c r="K22" s="21"/>
      <c r="L22" s="21">
        <v>1060</v>
      </c>
      <c r="M22" s="21"/>
      <c r="N22" s="21"/>
      <c r="O22" s="21"/>
      <c r="P22" s="21">
        <v>840</v>
      </c>
      <c r="Q22" s="21">
        <v>1391</v>
      </c>
      <c r="R22" s="21"/>
      <c r="S22" s="21"/>
      <c r="T22" s="21">
        <v>960</v>
      </c>
      <c r="U22" s="21"/>
      <c r="V22" s="21"/>
      <c r="W22" s="21"/>
      <c r="X22" s="21">
        <v>1080</v>
      </c>
      <c r="Y22" s="21"/>
      <c r="Z22" s="21"/>
      <c r="AA22" s="21"/>
      <c r="AB22" s="21">
        <v>1080</v>
      </c>
      <c r="AC22" s="21"/>
      <c r="AD22" s="21"/>
      <c r="AE22" s="21"/>
      <c r="AF22" s="21">
        <v>1080</v>
      </c>
      <c r="AG22" s="21"/>
      <c r="AH22" s="21"/>
      <c r="AI22" s="21"/>
      <c r="AJ22" s="21">
        <v>1080</v>
      </c>
      <c r="AK22" s="21"/>
      <c r="AL22" s="21"/>
      <c r="AM22" s="21"/>
      <c r="AN22" s="21">
        <v>1080</v>
      </c>
      <c r="AO22" s="21"/>
      <c r="AP22" s="21"/>
      <c r="AQ22" s="21"/>
      <c r="AR22" s="21">
        <v>1020</v>
      </c>
      <c r="AS22" s="21"/>
      <c r="AT22" s="21"/>
      <c r="AU22" s="21"/>
      <c r="AV22" s="21">
        <v>960</v>
      </c>
      <c r="AW22" s="21"/>
      <c r="AX22" s="21"/>
      <c r="AY22" s="21"/>
      <c r="AZ22" s="21">
        <v>700</v>
      </c>
      <c r="BA22" s="21"/>
      <c r="BB22" s="21"/>
      <c r="BC22" s="21"/>
      <c r="BD22" s="16">
        <f t="shared" si="1"/>
        <v>12000</v>
      </c>
      <c r="BE22" s="16">
        <f t="shared" si="0"/>
        <v>1574</v>
      </c>
      <c r="BF22" s="16">
        <f t="shared" si="0"/>
        <v>0</v>
      </c>
      <c r="BG22" s="16">
        <f t="shared" si="0"/>
        <v>0</v>
      </c>
      <c r="BH22" s="16">
        <v>10000</v>
      </c>
      <c r="BI22" s="16">
        <v>7000</v>
      </c>
      <c r="BJ22" s="16">
        <v>5000</v>
      </c>
      <c r="BK22" s="16"/>
      <c r="BL22" s="7"/>
    </row>
    <row r="23" spans="2:64" hidden="1" x14ac:dyDescent="0.25">
      <c r="B23" s="14">
        <f>SUBTOTAL(3,$C$8:C23)</f>
        <v>0</v>
      </c>
      <c r="C23" s="15" t="s">
        <v>119</v>
      </c>
      <c r="D23" s="15" t="s">
        <v>11</v>
      </c>
      <c r="E23" s="15" t="s">
        <v>60</v>
      </c>
      <c r="F23" s="15" t="s">
        <v>29</v>
      </c>
      <c r="G23" s="15"/>
      <c r="H23" s="21">
        <v>2640</v>
      </c>
      <c r="I23" s="21">
        <v>934</v>
      </c>
      <c r="J23" s="21"/>
      <c r="K23" s="21"/>
      <c r="L23" s="21">
        <v>2640</v>
      </c>
      <c r="M23" s="21"/>
      <c r="N23" s="21"/>
      <c r="O23" s="21"/>
      <c r="P23" s="21">
        <v>2100</v>
      </c>
      <c r="Q23" s="21">
        <v>561</v>
      </c>
      <c r="R23" s="21"/>
      <c r="S23" s="21"/>
      <c r="T23" s="21">
        <v>2400</v>
      </c>
      <c r="U23" s="21"/>
      <c r="V23" s="21"/>
      <c r="W23" s="21"/>
      <c r="X23" s="21">
        <v>2700</v>
      </c>
      <c r="Y23" s="21"/>
      <c r="Z23" s="21"/>
      <c r="AA23" s="21"/>
      <c r="AB23" s="21">
        <v>2700</v>
      </c>
      <c r="AC23" s="21"/>
      <c r="AD23" s="21"/>
      <c r="AE23" s="21"/>
      <c r="AF23" s="21">
        <v>2700</v>
      </c>
      <c r="AG23" s="21"/>
      <c r="AH23" s="21"/>
      <c r="AI23" s="21"/>
      <c r="AJ23" s="21">
        <v>2700</v>
      </c>
      <c r="AK23" s="21"/>
      <c r="AL23" s="21"/>
      <c r="AM23" s="21"/>
      <c r="AN23" s="21">
        <v>2700</v>
      </c>
      <c r="AO23" s="21"/>
      <c r="AP23" s="21"/>
      <c r="AQ23" s="21"/>
      <c r="AR23" s="21">
        <v>2550</v>
      </c>
      <c r="AS23" s="21"/>
      <c r="AT23" s="21"/>
      <c r="AU23" s="21"/>
      <c r="AV23" s="21">
        <v>2400</v>
      </c>
      <c r="AW23" s="21"/>
      <c r="AX23" s="21"/>
      <c r="AY23" s="21"/>
      <c r="AZ23" s="21">
        <v>1770</v>
      </c>
      <c r="BA23" s="21"/>
      <c r="BB23" s="21"/>
      <c r="BC23" s="21"/>
      <c r="BD23" s="16">
        <f t="shared" si="1"/>
        <v>30000</v>
      </c>
      <c r="BE23" s="16">
        <f t="shared" si="0"/>
        <v>1495</v>
      </c>
      <c r="BF23" s="16">
        <f t="shared" si="0"/>
        <v>0</v>
      </c>
      <c r="BG23" s="16">
        <f t="shared" si="0"/>
        <v>0</v>
      </c>
      <c r="BH23" s="16">
        <v>10000</v>
      </c>
      <c r="BI23" s="16">
        <v>7000</v>
      </c>
      <c r="BJ23" s="16">
        <v>5000</v>
      </c>
      <c r="BK23" s="16"/>
      <c r="BL23" s="7"/>
    </row>
    <row r="24" spans="2:64" hidden="1" x14ac:dyDescent="0.25">
      <c r="B24" s="14">
        <f>SUBTOTAL(3,$C$8:C24)</f>
        <v>0</v>
      </c>
      <c r="C24" s="15" t="s">
        <v>119</v>
      </c>
      <c r="D24" s="15" t="s">
        <v>11</v>
      </c>
      <c r="E24" s="18" t="s">
        <v>61</v>
      </c>
      <c r="F24" s="15" t="s">
        <v>29</v>
      </c>
      <c r="G24" s="15"/>
      <c r="H24" s="21">
        <v>1170</v>
      </c>
      <c r="I24" s="21">
        <v>161</v>
      </c>
      <c r="J24" s="21"/>
      <c r="K24" s="21"/>
      <c r="L24" s="21">
        <v>1170</v>
      </c>
      <c r="M24" s="21"/>
      <c r="N24" s="21"/>
      <c r="O24" s="21"/>
      <c r="P24" s="21">
        <v>930</v>
      </c>
      <c r="Q24" s="21">
        <v>750</v>
      </c>
      <c r="R24" s="21"/>
      <c r="S24" s="21"/>
      <c r="T24" s="21">
        <v>1060</v>
      </c>
      <c r="U24" s="21"/>
      <c r="V24" s="21">
        <v>0</v>
      </c>
      <c r="W24" s="21"/>
      <c r="X24" s="21">
        <v>1190</v>
      </c>
      <c r="Y24" s="21"/>
      <c r="Z24" s="21"/>
      <c r="AA24" s="21"/>
      <c r="AB24" s="21">
        <v>1190</v>
      </c>
      <c r="AC24" s="21"/>
      <c r="AD24" s="21"/>
      <c r="AE24" s="21"/>
      <c r="AF24" s="21">
        <v>1190</v>
      </c>
      <c r="AG24" s="21"/>
      <c r="AH24" s="21"/>
      <c r="AI24" s="21"/>
      <c r="AJ24" s="21">
        <v>1190</v>
      </c>
      <c r="AK24" s="21"/>
      <c r="AL24" s="21"/>
      <c r="AM24" s="21"/>
      <c r="AN24" s="21">
        <v>1190</v>
      </c>
      <c r="AO24" s="21"/>
      <c r="AP24" s="21"/>
      <c r="AQ24" s="21"/>
      <c r="AR24" s="21">
        <v>1130</v>
      </c>
      <c r="AS24" s="21"/>
      <c r="AT24" s="21"/>
      <c r="AU24" s="21"/>
      <c r="AV24" s="21">
        <v>1060</v>
      </c>
      <c r="AW24" s="21"/>
      <c r="AX24" s="21"/>
      <c r="AY24" s="21"/>
      <c r="AZ24" s="21">
        <v>730</v>
      </c>
      <c r="BA24" s="21"/>
      <c r="BB24" s="21"/>
      <c r="BC24" s="21"/>
      <c r="BD24" s="16">
        <f t="shared" si="1"/>
        <v>13200</v>
      </c>
      <c r="BE24" s="16">
        <f t="shared" si="1"/>
        <v>911</v>
      </c>
      <c r="BF24" s="16">
        <f t="shared" si="1"/>
        <v>0</v>
      </c>
      <c r="BG24" s="16">
        <f t="shared" si="1"/>
        <v>0</v>
      </c>
      <c r="BH24" s="16">
        <v>10000</v>
      </c>
      <c r="BI24" s="16">
        <v>7000</v>
      </c>
      <c r="BJ24" s="16">
        <v>5000</v>
      </c>
      <c r="BK24" s="16"/>
      <c r="BL24" s="7" t="s">
        <v>62</v>
      </c>
    </row>
    <row r="25" spans="2:64" hidden="1" x14ac:dyDescent="0.25">
      <c r="B25" s="14">
        <f>SUBTOTAL(3,$C$8:C25)</f>
        <v>0</v>
      </c>
      <c r="C25" s="15" t="s">
        <v>119</v>
      </c>
      <c r="D25" s="15" t="s">
        <v>31</v>
      </c>
      <c r="E25" s="15" t="s">
        <v>32</v>
      </c>
      <c r="F25" s="15" t="s">
        <v>33</v>
      </c>
      <c r="G25" s="15"/>
      <c r="H25" s="21">
        <v>0</v>
      </c>
      <c r="I25" s="21">
        <v>4435</v>
      </c>
      <c r="J25" s="21"/>
      <c r="K25" s="21">
        <v>76</v>
      </c>
      <c r="L25" s="21">
        <v>0</v>
      </c>
      <c r="M25" s="21"/>
      <c r="N25" s="21"/>
      <c r="O25" s="21">
        <v>0</v>
      </c>
      <c r="P25" s="21">
        <v>0</v>
      </c>
      <c r="Q25" s="21"/>
      <c r="R25" s="21"/>
      <c r="S25" s="21">
        <v>0</v>
      </c>
      <c r="T25" s="21">
        <v>0</v>
      </c>
      <c r="U25" s="21"/>
      <c r="V25" s="21">
        <v>0</v>
      </c>
      <c r="W25" s="21"/>
      <c r="X25" s="21">
        <v>0</v>
      </c>
      <c r="Y25" s="21"/>
      <c r="Z25" s="21"/>
      <c r="AA25" s="21"/>
      <c r="AB25" s="21">
        <v>0</v>
      </c>
      <c r="AC25" s="21"/>
      <c r="AD25" s="21"/>
      <c r="AE25" s="21"/>
      <c r="AF25" s="21">
        <v>0</v>
      </c>
      <c r="AG25" s="21"/>
      <c r="AH25" s="21"/>
      <c r="AI25" s="21"/>
      <c r="AJ25" s="21">
        <v>0</v>
      </c>
      <c r="AK25" s="21"/>
      <c r="AL25" s="21"/>
      <c r="AM25" s="21"/>
      <c r="AN25" s="21">
        <v>0</v>
      </c>
      <c r="AO25" s="21"/>
      <c r="AP25" s="21"/>
      <c r="AQ25" s="21"/>
      <c r="AR25" s="21">
        <v>0</v>
      </c>
      <c r="AS25" s="21"/>
      <c r="AT25" s="21"/>
      <c r="AU25" s="21"/>
      <c r="AV25" s="21">
        <v>0</v>
      </c>
      <c r="AW25" s="21"/>
      <c r="AX25" s="21"/>
      <c r="AY25" s="21"/>
      <c r="AZ25" s="21">
        <v>0</v>
      </c>
      <c r="BA25" s="21"/>
      <c r="BB25" s="21"/>
      <c r="BC25" s="21"/>
      <c r="BD25" s="16">
        <f t="shared" si="1"/>
        <v>0</v>
      </c>
      <c r="BE25" s="16">
        <f t="shared" si="1"/>
        <v>4435</v>
      </c>
      <c r="BF25" s="16">
        <f t="shared" si="1"/>
        <v>0</v>
      </c>
      <c r="BG25" s="16">
        <f t="shared" si="1"/>
        <v>76</v>
      </c>
      <c r="BH25" s="16">
        <v>30000</v>
      </c>
      <c r="BI25" s="16">
        <v>20000</v>
      </c>
      <c r="BJ25" s="16">
        <v>15000</v>
      </c>
      <c r="BK25" s="16"/>
      <c r="BL25" s="7"/>
    </row>
    <row r="26" spans="2:64" hidden="1" x14ac:dyDescent="0.25">
      <c r="B26" s="14">
        <f>SUBTOTAL(3,$C$8:C26)</f>
        <v>0</v>
      </c>
      <c r="C26" s="15" t="s">
        <v>119</v>
      </c>
      <c r="D26" s="15" t="s">
        <v>31</v>
      </c>
      <c r="E26" s="15" t="s">
        <v>34</v>
      </c>
      <c r="F26" s="15" t="s">
        <v>33</v>
      </c>
      <c r="G26" s="15"/>
      <c r="H26" s="21">
        <v>5280</v>
      </c>
      <c r="I26" s="21">
        <v>2567</v>
      </c>
      <c r="J26" s="21"/>
      <c r="K26" s="21">
        <v>1307</v>
      </c>
      <c r="L26" s="21">
        <v>5280</v>
      </c>
      <c r="M26" s="21">
        <v>5013</v>
      </c>
      <c r="N26" s="21"/>
      <c r="O26" s="21">
        <v>732</v>
      </c>
      <c r="P26" s="21">
        <v>4200</v>
      </c>
      <c r="Q26" s="21">
        <v>3396</v>
      </c>
      <c r="R26" s="21"/>
      <c r="S26" s="21">
        <v>0</v>
      </c>
      <c r="T26" s="21">
        <v>4800</v>
      </c>
      <c r="U26" s="21"/>
      <c r="V26" s="21">
        <v>3163</v>
      </c>
      <c r="W26" s="21"/>
      <c r="X26" s="21">
        <v>5400</v>
      </c>
      <c r="Y26" s="21"/>
      <c r="Z26" s="21"/>
      <c r="AA26" s="21"/>
      <c r="AB26" s="21">
        <v>5400</v>
      </c>
      <c r="AC26" s="21"/>
      <c r="AD26" s="21"/>
      <c r="AE26" s="21"/>
      <c r="AF26" s="21">
        <v>5400</v>
      </c>
      <c r="AG26" s="21"/>
      <c r="AH26" s="21"/>
      <c r="AI26" s="21"/>
      <c r="AJ26" s="21">
        <v>5400</v>
      </c>
      <c r="AK26" s="21"/>
      <c r="AL26" s="21"/>
      <c r="AM26" s="21"/>
      <c r="AN26" s="21">
        <v>5400</v>
      </c>
      <c r="AO26" s="21"/>
      <c r="AP26" s="21"/>
      <c r="AQ26" s="21"/>
      <c r="AR26" s="21">
        <v>5100</v>
      </c>
      <c r="AS26" s="21"/>
      <c r="AT26" s="21"/>
      <c r="AU26" s="21"/>
      <c r="AV26" s="21">
        <v>4800</v>
      </c>
      <c r="AW26" s="21"/>
      <c r="AX26" s="21"/>
      <c r="AY26" s="21"/>
      <c r="AZ26" s="21">
        <v>3540</v>
      </c>
      <c r="BA26" s="21"/>
      <c r="BB26" s="21"/>
      <c r="BC26" s="21"/>
      <c r="BD26" s="16">
        <f t="shared" si="1"/>
        <v>60000</v>
      </c>
      <c r="BE26" s="16">
        <f t="shared" si="1"/>
        <v>10976</v>
      </c>
      <c r="BF26" s="16">
        <f t="shared" si="1"/>
        <v>3163</v>
      </c>
      <c r="BG26" s="16">
        <f t="shared" si="1"/>
        <v>2039</v>
      </c>
      <c r="BH26" s="16">
        <v>35000</v>
      </c>
      <c r="BI26" s="16">
        <v>25000</v>
      </c>
      <c r="BJ26" s="16">
        <v>23000</v>
      </c>
      <c r="BK26" s="16"/>
      <c r="BL26" s="7"/>
    </row>
    <row r="27" spans="2:64" hidden="1" x14ac:dyDescent="0.25">
      <c r="B27" s="14">
        <f>SUBTOTAL(3,$C$8:C27)</f>
        <v>0</v>
      </c>
      <c r="C27" s="15" t="s">
        <v>119</v>
      </c>
      <c r="D27" s="15" t="s">
        <v>31</v>
      </c>
      <c r="E27" s="15" t="s">
        <v>35</v>
      </c>
      <c r="F27" s="15" t="s">
        <v>33</v>
      </c>
      <c r="G27" s="15"/>
      <c r="H27" s="21">
        <v>4760</v>
      </c>
      <c r="I27" s="21">
        <v>3517</v>
      </c>
      <c r="J27" s="21"/>
      <c r="K27" s="21">
        <v>748</v>
      </c>
      <c r="L27" s="21">
        <v>4760</v>
      </c>
      <c r="M27" s="21">
        <v>3906</v>
      </c>
      <c r="N27" s="21"/>
      <c r="O27" s="21">
        <v>447</v>
      </c>
      <c r="P27" s="21">
        <v>3780</v>
      </c>
      <c r="Q27" s="21">
        <v>3757</v>
      </c>
      <c r="R27" s="21"/>
      <c r="S27" s="21">
        <v>881</v>
      </c>
      <c r="T27" s="21">
        <v>4320</v>
      </c>
      <c r="U27" s="21"/>
      <c r="V27" s="21">
        <v>1647</v>
      </c>
      <c r="W27" s="21"/>
      <c r="X27" s="21">
        <v>4860</v>
      </c>
      <c r="Y27" s="21"/>
      <c r="Z27" s="21"/>
      <c r="AA27" s="21"/>
      <c r="AB27" s="21">
        <v>4860</v>
      </c>
      <c r="AC27" s="21"/>
      <c r="AD27" s="21"/>
      <c r="AE27" s="21"/>
      <c r="AF27" s="21">
        <v>4860</v>
      </c>
      <c r="AG27" s="21"/>
      <c r="AH27" s="21"/>
      <c r="AI27" s="21"/>
      <c r="AJ27" s="21">
        <v>4860</v>
      </c>
      <c r="AK27" s="21"/>
      <c r="AL27" s="21"/>
      <c r="AM27" s="21"/>
      <c r="AN27" s="21">
        <v>4860</v>
      </c>
      <c r="AO27" s="21"/>
      <c r="AP27" s="21"/>
      <c r="AQ27" s="21"/>
      <c r="AR27" s="21">
        <v>4590</v>
      </c>
      <c r="AS27" s="21"/>
      <c r="AT27" s="21"/>
      <c r="AU27" s="21"/>
      <c r="AV27" s="21">
        <v>4320</v>
      </c>
      <c r="AW27" s="21"/>
      <c r="AX27" s="21"/>
      <c r="AY27" s="21"/>
      <c r="AZ27" s="21">
        <v>3170</v>
      </c>
      <c r="BA27" s="21"/>
      <c r="BB27" s="21"/>
      <c r="BC27" s="21"/>
      <c r="BD27" s="16">
        <f t="shared" si="1"/>
        <v>54000</v>
      </c>
      <c r="BE27" s="16">
        <f t="shared" si="1"/>
        <v>11180</v>
      </c>
      <c r="BF27" s="16">
        <f t="shared" si="1"/>
        <v>1647</v>
      </c>
      <c r="BG27" s="16">
        <f t="shared" si="1"/>
        <v>2076</v>
      </c>
      <c r="BH27" s="16">
        <v>30000</v>
      </c>
      <c r="BI27" s="16">
        <v>25000</v>
      </c>
      <c r="BJ27" s="16">
        <v>20000</v>
      </c>
      <c r="BK27" s="16"/>
      <c r="BL27" s="7"/>
    </row>
    <row r="28" spans="2:64" hidden="1" x14ac:dyDescent="0.25">
      <c r="B28" s="14">
        <f>SUBTOTAL(3,$C$8:C28)</f>
        <v>0</v>
      </c>
      <c r="C28" s="15" t="s">
        <v>119</v>
      </c>
      <c r="D28" s="15" t="s">
        <v>31</v>
      </c>
      <c r="E28" s="15" t="s">
        <v>36</v>
      </c>
      <c r="F28" s="15" t="s">
        <v>33</v>
      </c>
      <c r="G28" s="15"/>
      <c r="H28" s="21">
        <v>1890</v>
      </c>
      <c r="I28" s="21">
        <v>3536</v>
      </c>
      <c r="J28" s="21"/>
      <c r="K28" s="21">
        <v>1838</v>
      </c>
      <c r="L28" s="21">
        <v>1890</v>
      </c>
      <c r="M28" s="21">
        <v>2230</v>
      </c>
      <c r="N28" s="21"/>
      <c r="O28" s="21">
        <v>1884</v>
      </c>
      <c r="P28" s="21">
        <v>1510</v>
      </c>
      <c r="Q28" s="21">
        <v>2191</v>
      </c>
      <c r="R28" s="21"/>
      <c r="S28" s="21">
        <v>0</v>
      </c>
      <c r="T28" s="21">
        <v>1720</v>
      </c>
      <c r="U28" s="21"/>
      <c r="V28" s="21">
        <v>2170</v>
      </c>
      <c r="W28" s="21"/>
      <c r="X28" s="21">
        <v>1940</v>
      </c>
      <c r="Y28" s="21"/>
      <c r="Z28" s="21"/>
      <c r="AA28" s="21"/>
      <c r="AB28" s="21">
        <v>1940</v>
      </c>
      <c r="AC28" s="21"/>
      <c r="AD28" s="21"/>
      <c r="AE28" s="21"/>
      <c r="AF28" s="21">
        <v>1940</v>
      </c>
      <c r="AG28" s="21"/>
      <c r="AH28" s="21"/>
      <c r="AI28" s="21"/>
      <c r="AJ28" s="21">
        <v>1940</v>
      </c>
      <c r="AK28" s="21"/>
      <c r="AL28" s="21"/>
      <c r="AM28" s="21"/>
      <c r="AN28" s="21">
        <v>1940</v>
      </c>
      <c r="AO28" s="21"/>
      <c r="AP28" s="21"/>
      <c r="AQ28" s="21"/>
      <c r="AR28" s="21">
        <v>1830</v>
      </c>
      <c r="AS28" s="21"/>
      <c r="AT28" s="21"/>
      <c r="AU28" s="21"/>
      <c r="AV28" s="21">
        <v>1720</v>
      </c>
      <c r="AW28" s="21"/>
      <c r="AX28" s="21"/>
      <c r="AY28" s="21"/>
      <c r="AZ28" s="21">
        <v>1190</v>
      </c>
      <c r="BA28" s="21"/>
      <c r="BB28" s="21"/>
      <c r="BC28" s="21"/>
      <c r="BD28" s="16">
        <f t="shared" si="1"/>
        <v>21450</v>
      </c>
      <c r="BE28" s="16">
        <f t="shared" si="1"/>
        <v>7957</v>
      </c>
      <c r="BF28" s="16">
        <f t="shared" si="1"/>
        <v>2170</v>
      </c>
      <c r="BG28" s="16">
        <f t="shared" si="1"/>
        <v>3722</v>
      </c>
      <c r="BH28" s="16">
        <v>25000</v>
      </c>
      <c r="BI28" s="16">
        <v>20000</v>
      </c>
      <c r="BJ28" s="16">
        <v>15000</v>
      </c>
      <c r="BK28" s="16"/>
      <c r="BL28" s="7"/>
    </row>
    <row r="29" spans="2:64" hidden="1" x14ac:dyDescent="0.25">
      <c r="B29" s="14">
        <f>SUBTOTAL(3,$C$8:C29)</f>
        <v>0</v>
      </c>
      <c r="C29" s="15" t="s">
        <v>119</v>
      </c>
      <c r="D29" s="15" t="s">
        <v>31</v>
      </c>
      <c r="E29" s="15" t="s">
        <v>37</v>
      </c>
      <c r="F29" s="15" t="s">
        <v>33</v>
      </c>
      <c r="G29" s="15"/>
      <c r="H29" s="21">
        <v>4230</v>
      </c>
      <c r="I29" s="21">
        <v>4484</v>
      </c>
      <c r="J29" s="21"/>
      <c r="K29" s="21"/>
      <c r="L29" s="21">
        <v>4230</v>
      </c>
      <c r="M29" s="21">
        <v>6530</v>
      </c>
      <c r="N29" s="21"/>
      <c r="O29" s="21"/>
      <c r="P29" s="21">
        <v>3360</v>
      </c>
      <c r="Q29" s="21">
        <v>6996</v>
      </c>
      <c r="R29" s="21"/>
      <c r="S29" s="21"/>
      <c r="T29" s="21">
        <v>3840</v>
      </c>
      <c r="U29" s="21"/>
      <c r="V29" s="21">
        <v>1091</v>
      </c>
      <c r="W29" s="21"/>
      <c r="X29" s="21">
        <v>4320</v>
      </c>
      <c r="Y29" s="21"/>
      <c r="Z29" s="21"/>
      <c r="AA29" s="21"/>
      <c r="AB29" s="21">
        <v>4320</v>
      </c>
      <c r="AC29" s="21"/>
      <c r="AD29" s="21"/>
      <c r="AE29" s="21"/>
      <c r="AF29" s="21">
        <v>4320</v>
      </c>
      <c r="AG29" s="21"/>
      <c r="AH29" s="21"/>
      <c r="AI29" s="21"/>
      <c r="AJ29" s="21">
        <v>4320</v>
      </c>
      <c r="AK29" s="21"/>
      <c r="AL29" s="21"/>
      <c r="AM29" s="21"/>
      <c r="AN29" s="21">
        <v>4320</v>
      </c>
      <c r="AO29" s="21"/>
      <c r="AP29" s="21"/>
      <c r="AQ29" s="21"/>
      <c r="AR29" s="21">
        <v>4080</v>
      </c>
      <c r="AS29" s="21"/>
      <c r="AT29" s="21"/>
      <c r="AU29" s="21"/>
      <c r="AV29" s="21">
        <v>3840</v>
      </c>
      <c r="AW29" s="21"/>
      <c r="AX29" s="21"/>
      <c r="AY29" s="21"/>
      <c r="AZ29" s="21">
        <v>2820</v>
      </c>
      <c r="BA29" s="21"/>
      <c r="BB29" s="21"/>
      <c r="BC29" s="21"/>
      <c r="BD29" s="16">
        <f t="shared" si="1"/>
        <v>48000</v>
      </c>
      <c r="BE29" s="16">
        <f t="shared" si="1"/>
        <v>18010</v>
      </c>
      <c r="BF29" s="16">
        <f t="shared" si="1"/>
        <v>1091</v>
      </c>
      <c r="BG29" s="16">
        <f t="shared" si="1"/>
        <v>0</v>
      </c>
      <c r="BH29" s="16">
        <v>25000</v>
      </c>
      <c r="BI29" s="16">
        <v>20000</v>
      </c>
      <c r="BJ29" s="16">
        <v>15000</v>
      </c>
      <c r="BK29" s="16"/>
      <c r="BL29" s="7"/>
    </row>
    <row r="30" spans="2:64" hidden="1" x14ac:dyDescent="0.25">
      <c r="B30" s="14">
        <f>SUBTOTAL(3,$C$8:C30)</f>
        <v>0</v>
      </c>
      <c r="C30" s="15" t="s">
        <v>119</v>
      </c>
      <c r="D30" s="15" t="s">
        <v>31</v>
      </c>
      <c r="E30" s="15" t="s">
        <v>38</v>
      </c>
      <c r="F30" s="15" t="s">
        <v>33</v>
      </c>
      <c r="G30" s="15"/>
      <c r="H30" s="21">
        <v>4230</v>
      </c>
      <c r="I30" s="21">
        <v>2830</v>
      </c>
      <c r="J30" s="21"/>
      <c r="K30" s="21"/>
      <c r="L30" s="21">
        <v>4230</v>
      </c>
      <c r="M30" s="21"/>
      <c r="N30" s="21"/>
      <c r="O30" s="21"/>
      <c r="P30" s="21">
        <v>3360</v>
      </c>
      <c r="Q30" s="21">
        <v>3503</v>
      </c>
      <c r="R30" s="21"/>
      <c r="S30" s="21"/>
      <c r="T30" s="21">
        <v>3840</v>
      </c>
      <c r="U30" s="21"/>
      <c r="V30" s="21"/>
      <c r="W30" s="21"/>
      <c r="X30" s="21">
        <v>4320</v>
      </c>
      <c r="Y30" s="21"/>
      <c r="Z30" s="21"/>
      <c r="AA30" s="21"/>
      <c r="AB30" s="21">
        <v>4320</v>
      </c>
      <c r="AC30" s="21"/>
      <c r="AD30" s="21"/>
      <c r="AE30" s="21"/>
      <c r="AF30" s="21">
        <v>4320</v>
      </c>
      <c r="AG30" s="21"/>
      <c r="AH30" s="21"/>
      <c r="AI30" s="21"/>
      <c r="AJ30" s="21">
        <v>4320</v>
      </c>
      <c r="AK30" s="21"/>
      <c r="AL30" s="21"/>
      <c r="AM30" s="21"/>
      <c r="AN30" s="21">
        <v>4320</v>
      </c>
      <c r="AO30" s="21"/>
      <c r="AP30" s="21"/>
      <c r="AQ30" s="21"/>
      <c r="AR30" s="21">
        <v>4080</v>
      </c>
      <c r="AS30" s="21"/>
      <c r="AT30" s="21"/>
      <c r="AU30" s="21"/>
      <c r="AV30" s="21">
        <v>3840</v>
      </c>
      <c r="AW30" s="21"/>
      <c r="AX30" s="21"/>
      <c r="AY30" s="21"/>
      <c r="AZ30" s="21">
        <v>2820</v>
      </c>
      <c r="BA30" s="21"/>
      <c r="BB30" s="21"/>
      <c r="BC30" s="21"/>
      <c r="BD30" s="16">
        <f t="shared" si="1"/>
        <v>48000</v>
      </c>
      <c r="BE30" s="16">
        <f t="shared" si="1"/>
        <v>6333</v>
      </c>
      <c r="BF30" s="16">
        <f t="shared" si="1"/>
        <v>0</v>
      </c>
      <c r="BG30" s="16">
        <f t="shared" si="1"/>
        <v>0</v>
      </c>
      <c r="BH30" s="16">
        <v>15000</v>
      </c>
      <c r="BI30" s="16">
        <v>10000</v>
      </c>
      <c r="BJ30" s="16">
        <v>5000</v>
      </c>
      <c r="BK30" s="16"/>
      <c r="BL30" s="7"/>
    </row>
    <row r="31" spans="2:64" hidden="1" x14ac:dyDescent="0.25">
      <c r="B31" s="14">
        <f>SUBTOTAL(3,$C$8:C31)</f>
        <v>0</v>
      </c>
      <c r="C31" s="15" t="s">
        <v>119</v>
      </c>
      <c r="D31" s="15" t="s">
        <v>31</v>
      </c>
      <c r="E31" s="15" t="s">
        <v>39</v>
      </c>
      <c r="F31" s="15" t="s">
        <v>33</v>
      </c>
      <c r="G31" s="15"/>
      <c r="H31" s="21">
        <v>1320</v>
      </c>
      <c r="I31" s="21"/>
      <c r="J31" s="21"/>
      <c r="K31" s="21"/>
      <c r="L31" s="21">
        <v>1320</v>
      </c>
      <c r="M31" s="21">
        <v>302</v>
      </c>
      <c r="N31" s="21"/>
      <c r="O31" s="21"/>
      <c r="P31" s="21">
        <v>1050</v>
      </c>
      <c r="Q31" s="21">
        <v>797</v>
      </c>
      <c r="R31" s="21"/>
      <c r="S31" s="21"/>
      <c r="T31" s="21">
        <v>1200</v>
      </c>
      <c r="U31" s="21"/>
      <c r="V31" s="21">
        <v>0</v>
      </c>
      <c r="W31" s="21"/>
      <c r="X31" s="21">
        <v>1350</v>
      </c>
      <c r="Y31" s="21"/>
      <c r="Z31" s="21"/>
      <c r="AA31" s="21"/>
      <c r="AB31" s="21">
        <v>1350</v>
      </c>
      <c r="AC31" s="21"/>
      <c r="AD31" s="21"/>
      <c r="AE31" s="21"/>
      <c r="AF31" s="21">
        <v>1350</v>
      </c>
      <c r="AG31" s="21"/>
      <c r="AH31" s="21"/>
      <c r="AI31" s="21"/>
      <c r="AJ31" s="21">
        <v>1350</v>
      </c>
      <c r="AK31" s="21"/>
      <c r="AL31" s="21"/>
      <c r="AM31" s="21"/>
      <c r="AN31" s="21">
        <v>1350</v>
      </c>
      <c r="AO31" s="21"/>
      <c r="AP31" s="21"/>
      <c r="AQ31" s="21"/>
      <c r="AR31" s="21">
        <v>1280</v>
      </c>
      <c r="AS31" s="21"/>
      <c r="AT31" s="21"/>
      <c r="AU31" s="21"/>
      <c r="AV31" s="21">
        <v>1200</v>
      </c>
      <c r="AW31" s="21"/>
      <c r="AX31" s="21"/>
      <c r="AY31" s="21"/>
      <c r="AZ31" s="21">
        <v>880</v>
      </c>
      <c r="BA31" s="21"/>
      <c r="BB31" s="21"/>
      <c r="BC31" s="21"/>
      <c r="BD31" s="16">
        <f t="shared" si="1"/>
        <v>15000</v>
      </c>
      <c r="BE31" s="16">
        <f t="shared" si="1"/>
        <v>1099</v>
      </c>
      <c r="BF31" s="16">
        <f t="shared" si="1"/>
        <v>0</v>
      </c>
      <c r="BG31" s="16">
        <f t="shared" si="1"/>
        <v>0</v>
      </c>
      <c r="BH31" s="16">
        <v>15000</v>
      </c>
      <c r="BI31" s="16">
        <v>10000</v>
      </c>
      <c r="BJ31" s="16">
        <v>7000</v>
      </c>
      <c r="BK31" s="16"/>
      <c r="BL31" s="7"/>
    </row>
    <row r="32" spans="2:64" hidden="1" x14ac:dyDescent="0.25">
      <c r="B32" s="14">
        <f>SUBTOTAL(3,$C$8:C32)</f>
        <v>0</v>
      </c>
      <c r="C32" s="15" t="s">
        <v>119</v>
      </c>
      <c r="D32" s="15" t="s">
        <v>31</v>
      </c>
      <c r="E32" s="15" t="s">
        <v>40</v>
      </c>
      <c r="F32" s="15" t="s">
        <v>33</v>
      </c>
      <c r="G32" s="15"/>
      <c r="H32" s="21">
        <v>1060</v>
      </c>
      <c r="I32" s="21">
        <v>166</v>
      </c>
      <c r="J32" s="21"/>
      <c r="K32" s="21">
        <v>166</v>
      </c>
      <c r="L32" s="21">
        <v>1060</v>
      </c>
      <c r="M32" s="21">
        <v>2190</v>
      </c>
      <c r="N32" s="21"/>
      <c r="O32" s="21">
        <v>330</v>
      </c>
      <c r="P32" s="21">
        <v>840</v>
      </c>
      <c r="Q32" s="21">
        <v>145</v>
      </c>
      <c r="R32" s="21"/>
      <c r="S32" s="21">
        <v>0</v>
      </c>
      <c r="T32" s="21">
        <v>960</v>
      </c>
      <c r="U32" s="21"/>
      <c r="V32" s="21">
        <v>0</v>
      </c>
      <c r="W32" s="21"/>
      <c r="X32" s="21">
        <v>1080</v>
      </c>
      <c r="Y32" s="21"/>
      <c r="Z32" s="21"/>
      <c r="AA32" s="21"/>
      <c r="AB32" s="21">
        <v>1080</v>
      </c>
      <c r="AC32" s="21"/>
      <c r="AD32" s="21"/>
      <c r="AE32" s="21"/>
      <c r="AF32" s="21">
        <v>1080</v>
      </c>
      <c r="AG32" s="21"/>
      <c r="AH32" s="21"/>
      <c r="AI32" s="21"/>
      <c r="AJ32" s="21">
        <v>1080</v>
      </c>
      <c r="AK32" s="21"/>
      <c r="AL32" s="21"/>
      <c r="AM32" s="21"/>
      <c r="AN32" s="21">
        <v>1080</v>
      </c>
      <c r="AO32" s="21"/>
      <c r="AP32" s="21"/>
      <c r="AQ32" s="21"/>
      <c r="AR32" s="21">
        <v>1020</v>
      </c>
      <c r="AS32" s="21"/>
      <c r="AT32" s="21"/>
      <c r="AU32" s="21"/>
      <c r="AV32" s="21">
        <v>960</v>
      </c>
      <c r="AW32" s="21"/>
      <c r="AX32" s="21"/>
      <c r="AY32" s="21"/>
      <c r="AZ32" s="21">
        <v>700</v>
      </c>
      <c r="BA32" s="21"/>
      <c r="BB32" s="21"/>
      <c r="BC32" s="21"/>
      <c r="BD32" s="16">
        <f t="shared" si="1"/>
        <v>12000</v>
      </c>
      <c r="BE32" s="16">
        <f t="shared" si="1"/>
        <v>2501</v>
      </c>
      <c r="BF32" s="16">
        <f t="shared" si="1"/>
        <v>0</v>
      </c>
      <c r="BG32" s="16">
        <f t="shared" si="1"/>
        <v>496</v>
      </c>
      <c r="BH32" s="16">
        <v>15000</v>
      </c>
      <c r="BI32" s="16">
        <v>10000</v>
      </c>
      <c r="BJ32" s="16">
        <v>7000</v>
      </c>
      <c r="BK32" s="16"/>
      <c r="BL32" s="7"/>
    </row>
    <row r="33" spans="2:64" hidden="1" x14ac:dyDescent="0.25">
      <c r="B33" s="14">
        <f>SUBTOTAL(3,$C$8:C33)</f>
        <v>0</v>
      </c>
      <c r="C33" s="15" t="s">
        <v>119</v>
      </c>
      <c r="D33" s="15" t="s">
        <v>31</v>
      </c>
      <c r="E33" s="15" t="s">
        <v>41</v>
      </c>
      <c r="F33" s="15" t="s">
        <v>33</v>
      </c>
      <c r="G33" s="15"/>
      <c r="H33" s="21">
        <v>2120</v>
      </c>
      <c r="I33" s="21">
        <v>480</v>
      </c>
      <c r="J33" s="21"/>
      <c r="K33" s="21">
        <v>0</v>
      </c>
      <c r="L33" s="21">
        <v>2120</v>
      </c>
      <c r="M33" s="21">
        <v>1137</v>
      </c>
      <c r="N33" s="21"/>
      <c r="O33" s="21">
        <v>860</v>
      </c>
      <c r="P33" s="21">
        <v>1680</v>
      </c>
      <c r="Q33" s="21">
        <v>1208</v>
      </c>
      <c r="R33" s="21"/>
      <c r="S33" s="21">
        <v>589</v>
      </c>
      <c r="T33" s="21">
        <v>1920</v>
      </c>
      <c r="U33" s="21"/>
      <c r="V33" s="21">
        <v>1372</v>
      </c>
      <c r="W33" s="21"/>
      <c r="X33" s="21">
        <v>2160</v>
      </c>
      <c r="Y33" s="21"/>
      <c r="Z33" s="21"/>
      <c r="AA33" s="21"/>
      <c r="AB33" s="21">
        <v>2160</v>
      </c>
      <c r="AC33" s="21"/>
      <c r="AD33" s="21"/>
      <c r="AE33" s="21"/>
      <c r="AF33" s="21">
        <v>2160</v>
      </c>
      <c r="AG33" s="21"/>
      <c r="AH33" s="21"/>
      <c r="AI33" s="21"/>
      <c r="AJ33" s="21">
        <v>2160</v>
      </c>
      <c r="AK33" s="21"/>
      <c r="AL33" s="21"/>
      <c r="AM33" s="21"/>
      <c r="AN33" s="21">
        <v>2160</v>
      </c>
      <c r="AO33" s="21"/>
      <c r="AP33" s="21"/>
      <c r="AQ33" s="21"/>
      <c r="AR33" s="21">
        <v>2040</v>
      </c>
      <c r="AS33" s="21"/>
      <c r="AT33" s="21"/>
      <c r="AU33" s="21"/>
      <c r="AV33" s="21">
        <v>1920</v>
      </c>
      <c r="AW33" s="21"/>
      <c r="AX33" s="21"/>
      <c r="AY33" s="21"/>
      <c r="AZ33" s="21">
        <v>1400</v>
      </c>
      <c r="BA33" s="21"/>
      <c r="BB33" s="21"/>
      <c r="BC33" s="21"/>
      <c r="BD33" s="16">
        <f t="shared" si="1"/>
        <v>24000</v>
      </c>
      <c r="BE33" s="16">
        <f t="shared" si="1"/>
        <v>2825</v>
      </c>
      <c r="BF33" s="16">
        <f t="shared" si="1"/>
        <v>1372</v>
      </c>
      <c r="BG33" s="16">
        <f t="shared" si="1"/>
        <v>1449</v>
      </c>
      <c r="BH33" s="16">
        <v>15000</v>
      </c>
      <c r="BI33" s="16">
        <v>10000</v>
      </c>
      <c r="BJ33" s="16">
        <v>7000</v>
      </c>
      <c r="BK33" s="16"/>
      <c r="BL33" s="7"/>
    </row>
    <row r="34" spans="2:64" hidden="1" x14ac:dyDescent="0.25">
      <c r="B34" s="14">
        <f>SUBTOTAL(3,$C$8:C34)</f>
        <v>0</v>
      </c>
      <c r="C34" s="15" t="s">
        <v>119</v>
      </c>
      <c r="D34" s="15" t="s">
        <v>31</v>
      </c>
      <c r="E34" s="15" t="s">
        <v>42</v>
      </c>
      <c r="F34" s="15" t="s">
        <v>33</v>
      </c>
      <c r="G34" s="15"/>
      <c r="H34" s="21">
        <v>3170</v>
      </c>
      <c r="I34" s="21">
        <v>1796</v>
      </c>
      <c r="J34" s="21"/>
      <c r="K34" s="21">
        <v>256</v>
      </c>
      <c r="L34" s="21">
        <v>3170</v>
      </c>
      <c r="M34" s="21">
        <v>2050</v>
      </c>
      <c r="N34" s="21"/>
      <c r="O34" s="21">
        <v>0</v>
      </c>
      <c r="P34" s="21">
        <v>2520</v>
      </c>
      <c r="Q34" s="21">
        <v>1648</v>
      </c>
      <c r="R34" s="21"/>
      <c r="S34" s="21">
        <v>0</v>
      </c>
      <c r="T34" s="21">
        <v>2880</v>
      </c>
      <c r="U34" s="21"/>
      <c r="V34" s="21">
        <v>1089</v>
      </c>
      <c r="W34" s="21"/>
      <c r="X34" s="21">
        <v>3240</v>
      </c>
      <c r="Y34" s="21"/>
      <c r="Z34" s="21"/>
      <c r="AA34" s="21"/>
      <c r="AB34" s="21">
        <v>3240</v>
      </c>
      <c r="AC34" s="21"/>
      <c r="AD34" s="21"/>
      <c r="AE34" s="21"/>
      <c r="AF34" s="21">
        <v>3240</v>
      </c>
      <c r="AG34" s="21"/>
      <c r="AH34" s="21"/>
      <c r="AI34" s="21"/>
      <c r="AJ34" s="21">
        <v>3240</v>
      </c>
      <c r="AK34" s="21"/>
      <c r="AL34" s="21"/>
      <c r="AM34" s="21"/>
      <c r="AN34" s="21">
        <v>3240</v>
      </c>
      <c r="AO34" s="21"/>
      <c r="AP34" s="21"/>
      <c r="AQ34" s="21"/>
      <c r="AR34" s="21">
        <v>3060</v>
      </c>
      <c r="AS34" s="21"/>
      <c r="AT34" s="21"/>
      <c r="AU34" s="21"/>
      <c r="AV34" s="21">
        <v>2880</v>
      </c>
      <c r="AW34" s="21"/>
      <c r="AX34" s="21"/>
      <c r="AY34" s="21"/>
      <c r="AZ34" s="21">
        <v>2120</v>
      </c>
      <c r="BA34" s="21"/>
      <c r="BB34" s="21"/>
      <c r="BC34" s="21"/>
      <c r="BD34" s="16">
        <f t="shared" si="1"/>
        <v>36000</v>
      </c>
      <c r="BE34" s="16">
        <f t="shared" si="1"/>
        <v>5494</v>
      </c>
      <c r="BF34" s="16">
        <f t="shared" si="1"/>
        <v>1089</v>
      </c>
      <c r="BG34" s="16">
        <f t="shared" si="1"/>
        <v>256</v>
      </c>
      <c r="BH34" s="16">
        <v>15000</v>
      </c>
      <c r="BI34" s="16">
        <v>10000</v>
      </c>
      <c r="BJ34" s="16">
        <v>7000</v>
      </c>
      <c r="BK34" s="16"/>
      <c r="BL34" s="7"/>
    </row>
    <row r="35" spans="2:64" hidden="1" x14ac:dyDescent="0.25">
      <c r="B35" s="14">
        <f>SUBTOTAL(3,$C$8:C35)</f>
        <v>0</v>
      </c>
      <c r="C35" s="15" t="s">
        <v>119</v>
      </c>
      <c r="D35" s="15" t="s">
        <v>43</v>
      </c>
      <c r="E35" s="15" t="s">
        <v>44</v>
      </c>
      <c r="F35" s="15" t="s">
        <v>33</v>
      </c>
      <c r="G35" s="15"/>
      <c r="H35" s="21">
        <v>3700</v>
      </c>
      <c r="I35" s="21">
        <v>3492</v>
      </c>
      <c r="J35" s="21"/>
      <c r="K35" s="21"/>
      <c r="L35" s="21">
        <v>3700</v>
      </c>
      <c r="M35" s="21"/>
      <c r="N35" s="21"/>
      <c r="O35" s="21"/>
      <c r="P35" s="21">
        <v>2940</v>
      </c>
      <c r="Q35" s="21">
        <v>1323</v>
      </c>
      <c r="R35" s="21"/>
      <c r="S35" s="21"/>
      <c r="T35" s="21">
        <v>3360</v>
      </c>
      <c r="U35" s="21"/>
      <c r="V35" s="21"/>
      <c r="W35" s="21"/>
      <c r="X35" s="21">
        <v>3780</v>
      </c>
      <c r="Y35" s="21"/>
      <c r="Z35" s="21"/>
      <c r="AA35" s="21"/>
      <c r="AB35" s="21">
        <v>3780</v>
      </c>
      <c r="AC35" s="21"/>
      <c r="AD35" s="21"/>
      <c r="AE35" s="21"/>
      <c r="AF35" s="21">
        <v>3780</v>
      </c>
      <c r="AG35" s="21"/>
      <c r="AH35" s="21"/>
      <c r="AI35" s="21"/>
      <c r="AJ35" s="21">
        <v>3780</v>
      </c>
      <c r="AK35" s="21"/>
      <c r="AL35" s="21"/>
      <c r="AM35" s="21"/>
      <c r="AN35" s="21">
        <v>3780</v>
      </c>
      <c r="AO35" s="21"/>
      <c r="AP35" s="21"/>
      <c r="AQ35" s="21"/>
      <c r="AR35" s="21">
        <v>3570</v>
      </c>
      <c r="AS35" s="21"/>
      <c r="AT35" s="21"/>
      <c r="AU35" s="21"/>
      <c r="AV35" s="21">
        <v>3360</v>
      </c>
      <c r="AW35" s="21"/>
      <c r="AX35" s="21"/>
      <c r="AY35" s="21"/>
      <c r="AZ35" s="21">
        <v>2470</v>
      </c>
      <c r="BA35" s="21"/>
      <c r="BB35" s="21"/>
      <c r="BC35" s="21"/>
      <c r="BD35" s="16">
        <f t="shared" si="1"/>
        <v>42000</v>
      </c>
      <c r="BE35" s="16">
        <f t="shared" si="1"/>
        <v>4815</v>
      </c>
      <c r="BF35" s="16">
        <f t="shared" si="1"/>
        <v>0</v>
      </c>
      <c r="BG35" s="16">
        <f t="shared" si="1"/>
        <v>0</v>
      </c>
      <c r="BH35" s="16">
        <v>15000</v>
      </c>
      <c r="BI35" s="16">
        <v>10000</v>
      </c>
      <c r="BJ35" s="16">
        <v>5000</v>
      </c>
      <c r="BK35" s="16"/>
      <c r="BL35" s="7"/>
    </row>
    <row r="36" spans="2:64" hidden="1" x14ac:dyDescent="0.25">
      <c r="B36" s="14">
        <f>SUBTOTAL(3,$C$8:C36)</f>
        <v>0</v>
      </c>
      <c r="C36" s="15" t="s">
        <v>119</v>
      </c>
      <c r="D36" s="15" t="s">
        <v>31</v>
      </c>
      <c r="E36" s="15" t="s">
        <v>45</v>
      </c>
      <c r="F36" s="15" t="s">
        <v>33</v>
      </c>
      <c r="G36" s="15"/>
      <c r="H36" s="21">
        <v>1750</v>
      </c>
      <c r="I36" s="21">
        <v>588</v>
      </c>
      <c r="J36" s="21"/>
      <c r="K36" s="21"/>
      <c r="L36" s="21">
        <v>1750</v>
      </c>
      <c r="M36" s="21"/>
      <c r="N36" s="21"/>
      <c r="O36" s="21"/>
      <c r="P36" s="21">
        <v>1390</v>
      </c>
      <c r="Q36" s="21">
        <v>3542</v>
      </c>
      <c r="R36" s="21"/>
      <c r="S36" s="21"/>
      <c r="T36" s="21">
        <v>1590</v>
      </c>
      <c r="U36" s="21"/>
      <c r="V36" s="21">
        <v>673</v>
      </c>
      <c r="W36" s="21"/>
      <c r="X36" s="21">
        <v>1790</v>
      </c>
      <c r="Y36" s="21"/>
      <c r="Z36" s="21"/>
      <c r="AA36" s="21"/>
      <c r="AB36" s="21">
        <v>1790</v>
      </c>
      <c r="AC36" s="21"/>
      <c r="AD36" s="21"/>
      <c r="AE36" s="21"/>
      <c r="AF36" s="21">
        <v>1790</v>
      </c>
      <c r="AG36" s="21"/>
      <c r="AH36" s="21"/>
      <c r="AI36" s="21"/>
      <c r="AJ36" s="21">
        <v>1790</v>
      </c>
      <c r="AK36" s="21"/>
      <c r="AL36" s="21"/>
      <c r="AM36" s="21"/>
      <c r="AN36" s="21">
        <v>1790</v>
      </c>
      <c r="AO36" s="21"/>
      <c r="AP36" s="21"/>
      <c r="AQ36" s="21"/>
      <c r="AR36" s="21">
        <v>1690</v>
      </c>
      <c r="AS36" s="21"/>
      <c r="AT36" s="21"/>
      <c r="AU36" s="21"/>
      <c r="AV36" s="21">
        <v>1590</v>
      </c>
      <c r="AW36" s="21"/>
      <c r="AX36" s="21"/>
      <c r="AY36" s="21"/>
      <c r="AZ36" s="21">
        <v>1090</v>
      </c>
      <c r="BA36" s="21"/>
      <c r="BB36" s="21"/>
      <c r="BC36" s="21"/>
      <c r="BD36" s="16">
        <f t="shared" si="1"/>
        <v>19800</v>
      </c>
      <c r="BE36" s="16">
        <f t="shared" si="1"/>
        <v>4130</v>
      </c>
      <c r="BF36" s="16">
        <f t="shared" si="1"/>
        <v>673</v>
      </c>
      <c r="BG36" s="16">
        <f t="shared" si="1"/>
        <v>0</v>
      </c>
      <c r="BH36" s="16">
        <v>15000</v>
      </c>
      <c r="BI36" s="16">
        <v>10000</v>
      </c>
      <c r="BJ36" s="16">
        <v>8000</v>
      </c>
      <c r="BK36" s="16"/>
      <c r="BL36" s="7"/>
    </row>
    <row r="37" spans="2:64" hidden="1" x14ac:dyDescent="0.25">
      <c r="B37" s="14">
        <f>SUBTOTAL(3,$C$8:C37)</f>
        <v>0</v>
      </c>
      <c r="C37" s="15" t="s">
        <v>119</v>
      </c>
      <c r="D37" s="15" t="s">
        <v>31</v>
      </c>
      <c r="E37" s="15" t="s">
        <v>46</v>
      </c>
      <c r="F37" s="15" t="s">
        <v>33</v>
      </c>
      <c r="G37" s="15"/>
      <c r="H37" s="21">
        <v>1460</v>
      </c>
      <c r="I37" s="21">
        <v>593</v>
      </c>
      <c r="J37" s="21"/>
      <c r="K37" s="21">
        <v>0</v>
      </c>
      <c r="L37" s="21">
        <v>1460</v>
      </c>
      <c r="M37" s="21"/>
      <c r="N37" s="21"/>
      <c r="O37" s="21">
        <v>511</v>
      </c>
      <c r="P37" s="21">
        <v>1160</v>
      </c>
      <c r="Q37" s="21">
        <v>1747</v>
      </c>
      <c r="R37" s="21"/>
      <c r="S37" s="21">
        <v>254</v>
      </c>
      <c r="T37" s="21">
        <v>1320</v>
      </c>
      <c r="U37" s="21"/>
      <c r="V37" s="21">
        <v>398</v>
      </c>
      <c r="W37" s="21"/>
      <c r="X37" s="21">
        <v>1490</v>
      </c>
      <c r="Y37" s="21"/>
      <c r="Z37" s="21"/>
      <c r="AA37" s="21"/>
      <c r="AB37" s="21">
        <v>1490</v>
      </c>
      <c r="AC37" s="21"/>
      <c r="AD37" s="21"/>
      <c r="AE37" s="21"/>
      <c r="AF37" s="21">
        <v>1490</v>
      </c>
      <c r="AG37" s="21"/>
      <c r="AH37" s="21"/>
      <c r="AI37" s="21"/>
      <c r="AJ37" s="21">
        <v>1490</v>
      </c>
      <c r="AK37" s="21"/>
      <c r="AL37" s="21"/>
      <c r="AM37" s="21"/>
      <c r="AN37" s="21">
        <v>1490</v>
      </c>
      <c r="AO37" s="21"/>
      <c r="AP37" s="21"/>
      <c r="AQ37" s="21"/>
      <c r="AR37" s="21">
        <v>1410</v>
      </c>
      <c r="AS37" s="21"/>
      <c r="AT37" s="21"/>
      <c r="AU37" s="21"/>
      <c r="AV37" s="21">
        <v>1320</v>
      </c>
      <c r="AW37" s="21"/>
      <c r="AX37" s="21"/>
      <c r="AY37" s="21"/>
      <c r="AZ37" s="21">
        <v>920</v>
      </c>
      <c r="BA37" s="21"/>
      <c r="BB37" s="21"/>
      <c r="BC37" s="21"/>
      <c r="BD37" s="16">
        <f t="shared" si="1"/>
        <v>16500</v>
      </c>
      <c r="BE37" s="16">
        <f t="shared" si="1"/>
        <v>2340</v>
      </c>
      <c r="BF37" s="16">
        <f t="shared" si="1"/>
        <v>398</v>
      </c>
      <c r="BG37" s="16">
        <f t="shared" si="1"/>
        <v>765</v>
      </c>
      <c r="BH37" s="16">
        <v>20000</v>
      </c>
      <c r="BI37" s="16">
        <v>15000</v>
      </c>
      <c r="BJ37" s="16">
        <v>10000</v>
      </c>
      <c r="BK37" s="16"/>
      <c r="BL37" s="7"/>
    </row>
    <row r="38" spans="2:64" hidden="1" x14ac:dyDescent="0.25">
      <c r="B38" s="14">
        <f>SUBTOTAL(3,$C$8:C38)</f>
        <v>0</v>
      </c>
      <c r="C38" s="15" t="s">
        <v>119</v>
      </c>
      <c r="D38" s="15" t="s">
        <v>31</v>
      </c>
      <c r="E38" s="15" t="s">
        <v>47</v>
      </c>
      <c r="F38" s="15" t="s">
        <v>33</v>
      </c>
      <c r="G38" s="15"/>
      <c r="H38" s="21">
        <v>3700</v>
      </c>
      <c r="I38" s="21">
        <v>1149</v>
      </c>
      <c r="J38" s="21"/>
      <c r="K38" s="21"/>
      <c r="L38" s="21">
        <v>3700</v>
      </c>
      <c r="M38" s="21"/>
      <c r="N38" s="21"/>
      <c r="O38" s="21"/>
      <c r="P38" s="21">
        <v>2940</v>
      </c>
      <c r="Q38" s="21">
        <v>3594</v>
      </c>
      <c r="R38" s="21"/>
      <c r="S38" s="21"/>
      <c r="T38" s="21">
        <v>3360</v>
      </c>
      <c r="U38" s="21"/>
      <c r="V38" s="21">
        <v>743</v>
      </c>
      <c r="W38" s="21"/>
      <c r="X38" s="21">
        <v>3780</v>
      </c>
      <c r="Y38" s="21"/>
      <c r="Z38" s="21"/>
      <c r="AA38" s="21"/>
      <c r="AB38" s="21">
        <v>3780</v>
      </c>
      <c r="AC38" s="21"/>
      <c r="AD38" s="21"/>
      <c r="AE38" s="21"/>
      <c r="AF38" s="21">
        <v>3780</v>
      </c>
      <c r="AG38" s="21"/>
      <c r="AH38" s="21"/>
      <c r="AI38" s="21"/>
      <c r="AJ38" s="21">
        <v>3780</v>
      </c>
      <c r="AK38" s="21"/>
      <c r="AL38" s="21"/>
      <c r="AM38" s="21"/>
      <c r="AN38" s="21">
        <v>3780</v>
      </c>
      <c r="AO38" s="21"/>
      <c r="AP38" s="21"/>
      <c r="AQ38" s="21"/>
      <c r="AR38" s="21">
        <v>3570</v>
      </c>
      <c r="AS38" s="21"/>
      <c r="AT38" s="21"/>
      <c r="AU38" s="21"/>
      <c r="AV38" s="21">
        <v>3360</v>
      </c>
      <c r="AW38" s="21"/>
      <c r="AX38" s="21"/>
      <c r="AY38" s="21"/>
      <c r="AZ38" s="21">
        <v>2470</v>
      </c>
      <c r="BA38" s="21"/>
      <c r="BB38" s="21"/>
      <c r="BC38" s="21"/>
      <c r="BD38" s="16">
        <f t="shared" si="1"/>
        <v>42000</v>
      </c>
      <c r="BE38" s="16">
        <f t="shared" si="1"/>
        <v>4743</v>
      </c>
      <c r="BF38" s="16">
        <f t="shared" si="1"/>
        <v>743</v>
      </c>
      <c r="BG38" s="16">
        <f t="shared" si="1"/>
        <v>0</v>
      </c>
      <c r="BH38" s="16">
        <v>25000</v>
      </c>
      <c r="BI38" s="16">
        <v>20000</v>
      </c>
      <c r="BJ38" s="16">
        <v>15000</v>
      </c>
      <c r="BK38" s="16"/>
      <c r="BL38" s="7"/>
    </row>
    <row r="39" spans="2:64" hidden="1" x14ac:dyDescent="0.25">
      <c r="B39" s="14">
        <f>SUBTOTAL(3,$C$8:C39)</f>
        <v>0</v>
      </c>
      <c r="C39" s="15" t="s">
        <v>119</v>
      </c>
      <c r="D39" s="15" t="s">
        <v>31</v>
      </c>
      <c r="E39" s="15" t="s">
        <v>48</v>
      </c>
      <c r="F39" s="15" t="s">
        <v>33</v>
      </c>
      <c r="G39" s="15"/>
      <c r="H39" s="21">
        <v>1590</v>
      </c>
      <c r="I39" s="21">
        <v>660</v>
      </c>
      <c r="J39" s="21"/>
      <c r="K39" s="21"/>
      <c r="L39" s="21">
        <v>1590</v>
      </c>
      <c r="M39" s="21"/>
      <c r="N39" s="21"/>
      <c r="O39" s="21"/>
      <c r="P39" s="21">
        <v>1260</v>
      </c>
      <c r="Q39" s="21">
        <v>1222</v>
      </c>
      <c r="R39" s="21"/>
      <c r="S39" s="21"/>
      <c r="T39" s="21">
        <v>1440</v>
      </c>
      <c r="U39" s="21"/>
      <c r="V39" s="21">
        <v>220</v>
      </c>
      <c r="W39" s="21"/>
      <c r="X39" s="21">
        <v>1620</v>
      </c>
      <c r="Y39" s="21"/>
      <c r="Z39" s="21"/>
      <c r="AA39" s="21"/>
      <c r="AB39" s="21">
        <v>1620</v>
      </c>
      <c r="AC39" s="21"/>
      <c r="AD39" s="21"/>
      <c r="AE39" s="21"/>
      <c r="AF39" s="21">
        <v>1620</v>
      </c>
      <c r="AG39" s="21"/>
      <c r="AH39" s="21"/>
      <c r="AI39" s="21"/>
      <c r="AJ39" s="21">
        <v>1620</v>
      </c>
      <c r="AK39" s="21"/>
      <c r="AL39" s="21"/>
      <c r="AM39" s="21"/>
      <c r="AN39" s="21">
        <v>1620</v>
      </c>
      <c r="AO39" s="21"/>
      <c r="AP39" s="21"/>
      <c r="AQ39" s="21"/>
      <c r="AR39" s="21">
        <v>1530</v>
      </c>
      <c r="AS39" s="21"/>
      <c r="AT39" s="21"/>
      <c r="AU39" s="21"/>
      <c r="AV39" s="21">
        <v>1440</v>
      </c>
      <c r="AW39" s="21"/>
      <c r="AX39" s="21"/>
      <c r="AY39" s="21"/>
      <c r="AZ39" s="21">
        <v>1050</v>
      </c>
      <c r="BA39" s="21"/>
      <c r="BB39" s="21"/>
      <c r="BC39" s="21"/>
      <c r="BD39" s="16">
        <f t="shared" si="1"/>
        <v>18000</v>
      </c>
      <c r="BE39" s="16">
        <f t="shared" si="1"/>
        <v>1882</v>
      </c>
      <c r="BF39" s="16">
        <f t="shared" si="1"/>
        <v>220</v>
      </c>
      <c r="BG39" s="16">
        <f t="shared" si="1"/>
        <v>0</v>
      </c>
      <c r="BH39" s="16">
        <v>15000</v>
      </c>
      <c r="BI39" s="16">
        <v>10000</v>
      </c>
      <c r="BJ39" s="16">
        <v>8000</v>
      </c>
      <c r="BK39" s="16"/>
      <c r="BL39" s="7"/>
    </row>
    <row r="40" spans="2:64" hidden="1" x14ac:dyDescent="0.25">
      <c r="B40" s="14">
        <f>SUBTOTAL(3,$C$8:C40)</f>
        <v>0</v>
      </c>
      <c r="C40" s="15" t="s">
        <v>119</v>
      </c>
      <c r="D40" s="15" t="s">
        <v>31</v>
      </c>
      <c r="E40" s="15" t="s">
        <v>49</v>
      </c>
      <c r="F40" s="15" t="s">
        <v>33</v>
      </c>
      <c r="G40" s="15"/>
      <c r="H40" s="21">
        <v>880</v>
      </c>
      <c r="I40" s="21">
        <v>985</v>
      </c>
      <c r="J40" s="21"/>
      <c r="K40" s="21">
        <v>0</v>
      </c>
      <c r="L40" s="21">
        <v>880</v>
      </c>
      <c r="M40" s="21">
        <v>1818</v>
      </c>
      <c r="N40" s="21"/>
      <c r="O40" s="21">
        <v>378</v>
      </c>
      <c r="P40" s="21">
        <v>700</v>
      </c>
      <c r="Q40" s="21">
        <v>3548</v>
      </c>
      <c r="R40" s="21"/>
      <c r="S40" s="21">
        <v>0</v>
      </c>
      <c r="T40" s="21">
        <v>800</v>
      </c>
      <c r="U40" s="21"/>
      <c r="V40" s="21">
        <v>0</v>
      </c>
      <c r="W40" s="21"/>
      <c r="X40" s="21">
        <v>900</v>
      </c>
      <c r="Y40" s="21"/>
      <c r="Z40" s="21"/>
      <c r="AA40" s="21"/>
      <c r="AB40" s="21">
        <v>900</v>
      </c>
      <c r="AC40" s="21"/>
      <c r="AD40" s="21"/>
      <c r="AE40" s="21"/>
      <c r="AF40" s="21">
        <v>900</v>
      </c>
      <c r="AG40" s="21"/>
      <c r="AH40" s="21"/>
      <c r="AI40" s="21"/>
      <c r="AJ40" s="21">
        <v>900</v>
      </c>
      <c r="AK40" s="21"/>
      <c r="AL40" s="21"/>
      <c r="AM40" s="21"/>
      <c r="AN40" s="21">
        <v>900</v>
      </c>
      <c r="AO40" s="21"/>
      <c r="AP40" s="21"/>
      <c r="AQ40" s="21"/>
      <c r="AR40" s="21">
        <v>850</v>
      </c>
      <c r="AS40" s="21"/>
      <c r="AT40" s="21"/>
      <c r="AU40" s="21"/>
      <c r="AV40" s="21">
        <v>800</v>
      </c>
      <c r="AW40" s="21"/>
      <c r="AX40" s="21"/>
      <c r="AY40" s="21"/>
      <c r="AZ40" s="21">
        <v>490</v>
      </c>
      <c r="BA40" s="21"/>
      <c r="BB40" s="21"/>
      <c r="BC40" s="21"/>
      <c r="BD40" s="16">
        <f t="shared" si="1"/>
        <v>9900</v>
      </c>
      <c r="BE40" s="16">
        <f t="shared" si="1"/>
        <v>6351</v>
      </c>
      <c r="BF40" s="16">
        <f t="shared" si="1"/>
        <v>0</v>
      </c>
      <c r="BG40" s="16">
        <f t="shared" si="1"/>
        <v>378</v>
      </c>
      <c r="BH40" s="16">
        <v>15000</v>
      </c>
      <c r="BI40" s="16">
        <v>10000</v>
      </c>
      <c r="BJ40" s="16">
        <v>8000</v>
      </c>
      <c r="BK40" s="16"/>
      <c r="BL40" s="7"/>
    </row>
    <row r="41" spans="2:64" hidden="1" x14ac:dyDescent="0.25">
      <c r="B41" s="14">
        <f>SUBTOTAL(3,$C$8:C41)</f>
        <v>0</v>
      </c>
      <c r="C41" s="15" t="s">
        <v>119</v>
      </c>
      <c r="D41" s="15" t="s">
        <v>31</v>
      </c>
      <c r="E41" s="15" t="s">
        <v>50</v>
      </c>
      <c r="F41" s="15" t="s">
        <v>33</v>
      </c>
      <c r="G41" s="15"/>
      <c r="H41" s="21">
        <v>1410</v>
      </c>
      <c r="I41" s="21">
        <v>1068</v>
      </c>
      <c r="J41" s="21"/>
      <c r="K41" s="21">
        <v>353</v>
      </c>
      <c r="L41" s="21">
        <v>1410</v>
      </c>
      <c r="M41" s="21">
        <v>1669</v>
      </c>
      <c r="N41" s="21"/>
      <c r="O41" s="21">
        <v>264</v>
      </c>
      <c r="P41" s="21">
        <v>1120</v>
      </c>
      <c r="Q41" s="21">
        <v>1427</v>
      </c>
      <c r="R41" s="21"/>
      <c r="S41" s="21">
        <v>0</v>
      </c>
      <c r="T41" s="21">
        <v>1280</v>
      </c>
      <c r="U41" s="21"/>
      <c r="V41" s="21">
        <v>624</v>
      </c>
      <c r="W41" s="21"/>
      <c r="X41" s="21">
        <v>1440</v>
      </c>
      <c r="Y41" s="21"/>
      <c r="Z41" s="21"/>
      <c r="AA41" s="21"/>
      <c r="AB41" s="21">
        <v>1440</v>
      </c>
      <c r="AC41" s="21"/>
      <c r="AD41" s="21"/>
      <c r="AE41" s="21"/>
      <c r="AF41" s="21">
        <v>1440</v>
      </c>
      <c r="AG41" s="21"/>
      <c r="AH41" s="21"/>
      <c r="AI41" s="21"/>
      <c r="AJ41" s="21">
        <v>1440</v>
      </c>
      <c r="AK41" s="21"/>
      <c r="AL41" s="21"/>
      <c r="AM41" s="21"/>
      <c r="AN41" s="21">
        <v>1440</v>
      </c>
      <c r="AO41" s="21"/>
      <c r="AP41" s="21"/>
      <c r="AQ41" s="21"/>
      <c r="AR41" s="21">
        <v>1360</v>
      </c>
      <c r="AS41" s="21"/>
      <c r="AT41" s="21"/>
      <c r="AU41" s="21"/>
      <c r="AV41" s="21">
        <v>1280</v>
      </c>
      <c r="AW41" s="21"/>
      <c r="AX41" s="21"/>
      <c r="AY41" s="21"/>
      <c r="AZ41" s="21">
        <v>940</v>
      </c>
      <c r="BA41" s="21"/>
      <c r="BB41" s="21"/>
      <c r="BC41" s="21"/>
      <c r="BD41" s="16">
        <f t="shared" si="1"/>
        <v>16000</v>
      </c>
      <c r="BE41" s="16">
        <f t="shared" si="1"/>
        <v>4164</v>
      </c>
      <c r="BF41" s="16">
        <f t="shared" si="1"/>
        <v>624</v>
      </c>
      <c r="BG41" s="16">
        <f t="shared" si="1"/>
        <v>617</v>
      </c>
      <c r="BH41" s="16">
        <v>20000</v>
      </c>
      <c r="BI41" s="16">
        <v>15000</v>
      </c>
      <c r="BJ41" s="16">
        <v>10000</v>
      </c>
      <c r="BK41" s="16"/>
      <c r="BL41" s="7"/>
    </row>
    <row r="42" spans="2:64" hidden="1" x14ac:dyDescent="0.25">
      <c r="B42" s="14">
        <f>SUBTOTAL(3,$C$8:C42)</f>
        <v>0</v>
      </c>
      <c r="C42" s="15" t="s">
        <v>63</v>
      </c>
      <c r="D42" s="15" t="s">
        <v>102</v>
      </c>
      <c r="E42" s="15" t="s">
        <v>67</v>
      </c>
      <c r="F42" s="15" t="s">
        <v>116</v>
      </c>
      <c r="G42" s="15"/>
      <c r="H42" s="21">
        <v>2910</v>
      </c>
      <c r="I42" s="21">
        <v>6432</v>
      </c>
      <c r="J42" s="21"/>
      <c r="K42" s="21">
        <v>1033</v>
      </c>
      <c r="L42" s="21">
        <v>2910</v>
      </c>
      <c r="M42" s="21">
        <v>3850</v>
      </c>
      <c r="N42" s="21"/>
      <c r="O42" s="21">
        <v>650</v>
      </c>
      <c r="P42" s="21">
        <v>2310</v>
      </c>
      <c r="Q42" s="21">
        <v>2486</v>
      </c>
      <c r="R42" s="21"/>
      <c r="S42" s="21">
        <v>0</v>
      </c>
      <c r="T42" s="21">
        <v>2640</v>
      </c>
      <c r="U42" s="21"/>
      <c r="V42" s="21">
        <v>2760</v>
      </c>
      <c r="W42" s="21"/>
      <c r="X42" s="21">
        <v>2970</v>
      </c>
      <c r="Y42" s="21"/>
      <c r="Z42" s="21"/>
      <c r="AA42" s="21"/>
      <c r="AB42" s="21">
        <v>2970</v>
      </c>
      <c r="AC42" s="21"/>
      <c r="AD42" s="21"/>
      <c r="AE42" s="21"/>
      <c r="AF42" s="21">
        <v>2970</v>
      </c>
      <c r="AG42" s="21"/>
      <c r="AH42" s="21"/>
      <c r="AI42" s="21"/>
      <c r="AJ42" s="21">
        <v>2970</v>
      </c>
      <c r="AK42" s="21"/>
      <c r="AL42" s="21"/>
      <c r="AM42" s="21"/>
      <c r="AN42" s="21">
        <v>2970</v>
      </c>
      <c r="AO42" s="21"/>
      <c r="AP42" s="21"/>
      <c r="AQ42" s="21"/>
      <c r="AR42" s="21">
        <v>2810</v>
      </c>
      <c r="AS42" s="21"/>
      <c r="AT42" s="21"/>
      <c r="AU42" s="21"/>
      <c r="AV42" s="21">
        <v>2640</v>
      </c>
      <c r="AW42" s="21"/>
      <c r="AX42" s="21"/>
      <c r="AY42" s="21"/>
      <c r="AZ42" s="21">
        <v>1930</v>
      </c>
      <c r="BA42" s="21"/>
      <c r="BB42" s="21"/>
      <c r="BC42" s="21"/>
      <c r="BD42" s="16">
        <f t="shared" si="1"/>
        <v>33000</v>
      </c>
      <c r="BE42" s="16">
        <f t="shared" si="1"/>
        <v>12768</v>
      </c>
      <c r="BF42" s="16">
        <f t="shared" si="1"/>
        <v>2760</v>
      </c>
      <c r="BG42" s="16">
        <f t="shared" si="1"/>
        <v>1683</v>
      </c>
      <c r="BH42" s="16">
        <v>10000</v>
      </c>
      <c r="BI42" s="16">
        <v>8000</v>
      </c>
      <c r="BJ42" s="16">
        <v>5000</v>
      </c>
      <c r="BK42" s="16"/>
      <c r="BL42" s="7"/>
    </row>
    <row r="43" spans="2:64" hidden="1" x14ac:dyDescent="0.25">
      <c r="B43" s="14">
        <f>SUBTOTAL(3,$C$8:C43)</f>
        <v>0</v>
      </c>
      <c r="C43" s="15" t="s">
        <v>63</v>
      </c>
      <c r="D43" s="15" t="s">
        <v>102</v>
      </c>
      <c r="E43" s="15" t="s">
        <v>68</v>
      </c>
      <c r="F43" s="15" t="s">
        <v>116</v>
      </c>
      <c r="G43" s="15"/>
      <c r="H43" s="21">
        <v>2640</v>
      </c>
      <c r="I43" s="21"/>
      <c r="J43" s="21"/>
      <c r="K43" s="21">
        <v>0</v>
      </c>
      <c r="L43" s="21">
        <v>2640</v>
      </c>
      <c r="M43" s="21">
        <v>3182</v>
      </c>
      <c r="N43" s="21"/>
      <c r="O43" s="21">
        <v>796</v>
      </c>
      <c r="P43" s="21">
        <v>2100</v>
      </c>
      <c r="Q43" s="21">
        <v>1992</v>
      </c>
      <c r="R43" s="21"/>
      <c r="S43" s="21">
        <v>772</v>
      </c>
      <c r="T43" s="21">
        <v>2400</v>
      </c>
      <c r="U43" s="21"/>
      <c r="V43" s="21">
        <v>3731</v>
      </c>
      <c r="W43" s="21"/>
      <c r="X43" s="21">
        <v>2700</v>
      </c>
      <c r="Y43" s="21"/>
      <c r="Z43" s="21"/>
      <c r="AA43" s="21"/>
      <c r="AB43" s="21">
        <v>2700</v>
      </c>
      <c r="AC43" s="21"/>
      <c r="AD43" s="21"/>
      <c r="AE43" s="21"/>
      <c r="AF43" s="21">
        <v>2700</v>
      </c>
      <c r="AG43" s="21"/>
      <c r="AH43" s="21"/>
      <c r="AI43" s="21"/>
      <c r="AJ43" s="21">
        <v>2700</v>
      </c>
      <c r="AK43" s="21"/>
      <c r="AL43" s="21"/>
      <c r="AM43" s="21"/>
      <c r="AN43" s="21">
        <v>2700</v>
      </c>
      <c r="AO43" s="21"/>
      <c r="AP43" s="21"/>
      <c r="AQ43" s="21"/>
      <c r="AR43" s="21">
        <v>2550</v>
      </c>
      <c r="AS43" s="21"/>
      <c r="AT43" s="21"/>
      <c r="AU43" s="21"/>
      <c r="AV43" s="21">
        <v>2400</v>
      </c>
      <c r="AW43" s="21"/>
      <c r="AX43" s="21"/>
      <c r="AY43" s="21"/>
      <c r="AZ43" s="21">
        <v>1770</v>
      </c>
      <c r="BA43" s="21"/>
      <c r="BB43" s="21"/>
      <c r="BC43" s="21"/>
      <c r="BD43" s="16">
        <f t="shared" si="1"/>
        <v>30000</v>
      </c>
      <c r="BE43" s="16">
        <f t="shared" si="1"/>
        <v>5174</v>
      </c>
      <c r="BF43" s="16">
        <f t="shared" si="1"/>
        <v>3731</v>
      </c>
      <c r="BG43" s="16">
        <f t="shared" si="1"/>
        <v>1568</v>
      </c>
      <c r="BH43" s="16">
        <v>15000</v>
      </c>
      <c r="BI43" s="16">
        <v>10000</v>
      </c>
      <c r="BJ43" s="16">
        <v>7000</v>
      </c>
      <c r="BK43" s="16"/>
      <c r="BL43" s="7"/>
    </row>
    <row r="44" spans="2:64" hidden="1" x14ac:dyDescent="0.25">
      <c r="B44" s="14">
        <f>SUBTOTAL(3,$C$8:C44)</f>
        <v>0</v>
      </c>
      <c r="C44" s="15" t="s">
        <v>63</v>
      </c>
      <c r="D44" s="15" t="s">
        <v>102</v>
      </c>
      <c r="E44" s="15" t="s">
        <v>69</v>
      </c>
      <c r="F44" s="15" t="s">
        <v>116</v>
      </c>
      <c r="G44" s="15"/>
      <c r="H44" s="21">
        <v>2640</v>
      </c>
      <c r="I44" s="21">
        <v>566</v>
      </c>
      <c r="J44" s="21"/>
      <c r="K44" s="21">
        <v>0</v>
      </c>
      <c r="L44" s="21">
        <v>2640</v>
      </c>
      <c r="M44" s="21">
        <v>2165</v>
      </c>
      <c r="N44" s="21"/>
      <c r="O44" s="21">
        <v>882</v>
      </c>
      <c r="P44" s="21">
        <v>2100</v>
      </c>
      <c r="Q44" s="21">
        <v>1904</v>
      </c>
      <c r="R44" s="21"/>
      <c r="S44" s="21">
        <v>190</v>
      </c>
      <c r="T44" s="21">
        <v>2400</v>
      </c>
      <c r="U44" s="21"/>
      <c r="V44" s="21">
        <v>934</v>
      </c>
      <c r="W44" s="21"/>
      <c r="X44" s="21">
        <v>2700</v>
      </c>
      <c r="Y44" s="21"/>
      <c r="Z44" s="21"/>
      <c r="AA44" s="21"/>
      <c r="AB44" s="21">
        <v>2700</v>
      </c>
      <c r="AC44" s="21"/>
      <c r="AD44" s="21"/>
      <c r="AE44" s="21"/>
      <c r="AF44" s="21">
        <v>2700</v>
      </c>
      <c r="AG44" s="21"/>
      <c r="AH44" s="21"/>
      <c r="AI44" s="21"/>
      <c r="AJ44" s="21">
        <v>2700</v>
      </c>
      <c r="AK44" s="21"/>
      <c r="AL44" s="21"/>
      <c r="AM44" s="21"/>
      <c r="AN44" s="21">
        <v>2700</v>
      </c>
      <c r="AO44" s="21"/>
      <c r="AP44" s="21"/>
      <c r="AQ44" s="21"/>
      <c r="AR44" s="21">
        <v>2550</v>
      </c>
      <c r="AS44" s="21"/>
      <c r="AT44" s="21"/>
      <c r="AU44" s="21"/>
      <c r="AV44" s="21">
        <v>2400</v>
      </c>
      <c r="AW44" s="21"/>
      <c r="AX44" s="21"/>
      <c r="AY44" s="21"/>
      <c r="AZ44" s="21">
        <v>1770</v>
      </c>
      <c r="BA44" s="21"/>
      <c r="BB44" s="21"/>
      <c r="BC44" s="21"/>
      <c r="BD44" s="16">
        <f t="shared" si="1"/>
        <v>30000</v>
      </c>
      <c r="BE44" s="16">
        <f t="shared" si="1"/>
        <v>4635</v>
      </c>
      <c r="BF44" s="16">
        <f t="shared" si="1"/>
        <v>934</v>
      </c>
      <c r="BG44" s="16">
        <f t="shared" si="1"/>
        <v>1072</v>
      </c>
      <c r="BH44" s="16">
        <v>15000</v>
      </c>
      <c r="BI44" s="16">
        <v>10000</v>
      </c>
      <c r="BJ44" s="16">
        <v>7000</v>
      </c>
      <c r="BK44" s="16"/>
      <c r="BL44" s="7"/>
    </row>
    <row r="45" spans="2:64" hidden="1" x14ac:dyDescent="0.25">
      <c r="B45" s="14">
        <f>SUBTOTAL(3,$C$8:C45)</f>
        <v>0</v>
      </c>
      <c r="C45" s="15" t="s">
        <v>63</v>
      </c>
      <c r="D45" s="15" t="s">
        <v>106</v>
      </c>
      <c r="E45" s="15" t="s">
        <v>70</v>
      </c>
      <c r="F45" s="15" t="s">
        <v>116</v>
      </c>
      <c r="G45" s="15"/>
      <c r="H45" s="21">
        <v>3960</v>
      </c>
      <c r="I45" s="21">
        <v>1671</v>
      </c>
      <c r="J45" s="21"/>
      <c r="K45" s="21">
        <v>712</v>
      </c>
      <c r="L45" s="21">
        <v>3960</v>
      </c>
      <c r="M45" s="21">
        <v>3574</v>
      </c>
      <c r="N45" s="21"/>
      <c r="O45" s="21">
        <v>976</v>
      </c>
      <c r="P45" s="21">
        <v>3150</v>
      </c>
      <c r="Q45" s="21">
        <v>848</v>
      </c>
      <c r="R45" s="21"/>
      <c r="S45" s="21">
        <v>467</v>
      </c>
      <c r="T45" s="21">
        <v>3600</v>
      </c>
      <c r="U45" s="21"/>
      <c r="V45" s="21">
        <v>1600</v>
      </c>
      <c r="W45" s="21"/>
      <c r="X45" s="21">
        <v>4050</v>
      </c>
      <c r="Y45" s="21"/>
      <c r="Z45" s="21"/>
      <c r="AA45" s="21"/>
      <c r="AB45" s="21">
        <v>4050</v>
      </c>
      <c r="AC45" s="21"/>
      <c r="AD45" s="21"/>
      <c r="AE45" s="21"/>
      <c r="AF45" s="21">
        <v>4050</v>
      </c>
      <c r="AG45" s="21"/>
      <c r="AH45" s="21"/>
      <c r="AI45" s="21"/>
      <c r="AJ45" s="21">
        <v>4050</v>
      </c>
      <c r="AK45" s="21"/>
      <c r="AL45" s="21"/>
      <c r="AM45" s="21"/>
      <c r="AN45" s="21">
        <v>4050</v>
      </c>
      <c r="AO45" s="21"/>
      <c r="AP45" s="21"/>
      <c r="AQ45" s="21"/>
      <c r="AR45" s="21">
        <v>3830</v>
      </c>
      <c r="AS45" s="21"/>
      <c r="AT45" s="21"/>
      <c r="AU45" s="21"/>
      <c r="AV45" s="21">
        <v>3600</v>
      </c>
      <c r="AW45" s="21"/>
      <c r="AX45" s="21"/>
      <c r="AY45" s="21"/>
      <c r="AZ45" s="21">
        <v>2650</v>
      </c>
      <c r="BA45" s="21"/>
      <c r="BB45" s="21"/>
      <c r="BC45" s="21"/>
      <c r="BD45" s="16">
        <f t="shared" si="1"/>
        <v>45000</v>
      </c>
      <c r="BE45" s="16">
        <f t="shared" si="1"/>
        <v>6093</v>
      </c>
      <c r="BF45" s="16">
        <f t="shared" si="1"/>
        <v>1600</v>
      </c>
      <c r="BG45" s="16">
        <f t="shared" si="1"/>
        <v>2155</v>
      </c>
      <c r="BH45" s="16">
        <v>15000</v>
      </c>
      <c r="BI45" s="16">
        <v>10000</v>
      </c>
      <c r="BJ45" s="16">
        <v>7000</v>
      </c>
      <c r="BK45" s="16"/>
      <c r="BL45" s="7"/>
    </row>
    <row r="46" spans="2:64" hidden="1" x14ac:dyDescent="0.25">
      <c r="B46" s="14">
        <f>SUBTOTAL(3,$C$8:C46)</f>
        <v>0</v>
      </c>
      <c r="C46" s="15" t="s">
        <v>63</v>
      </c>
      <c r="D46" s="15" t="s">
        <v>71</v>
      </c>
      <c r="E46" s="15" t="s">
        <v>72</v>
      </c>
      <c r="F46" s="15" t="s">
        <v>116</v>
      </c>
      <c r="G46" s="15"/>
      <c r="H46" s="21">
        <v>2640</v>
      </c>
      <c r="I46" s="21">
        <v>1646</v>
      </c>
      <c r="J46" s="21"/>
      <c r="K46" s="21">
        <v>168</v>
      </c>
      <c r="L46" s="21">
        <v>2640</v>
      </c>
      <c r="M46" s="21">
        <v>962</v>
      </c>
      <c r="N46" s="21"/>
      <c r="O46" s="21">
        <v>0</v>
      </c>
      <c r="P46" s="21">
        <v>2100</v>
      </c>
      <c r="Q46" s="21">
        <v>1758</v>
      </c>
      <c r="R46" s="21"/>
      <c r="S46" s="21">
        <v>558</v>
      </c>
      <c r="T46" s="21">
        <v>2400</v>
      </c>
      <c r="U46" s="21"/>
      <c r="V46" s="21">
        <v>3428</v>
      </c>
      <c r="W46" s="21"/>
      <c r="X46" s="21">
        <v>2700</v>
      </c>
      <c r="Y46" s="21"/>
      <c r="Z46" s="21"/>
      <c r="AA46" s="21"/>
      <c r="AB46" s="21">
        <v>2700</v>
      </c>
      <c r="AC46" s="21"/>
      <c r="AD46" s="21"/>
      <c r="AE46" s="21"/>
      <c r="AF46" s="21">
        <v>2700</v>
      </c>
      <c r="AG46" s="21"/>
      <c r="AH46" s="21"/>
      <c r="AI46" s="21"/>
      <c r="AJ46" s="21">
        <v>2700</v>
      </c>
      <c r="AK46" s="21"/>
      <c r="AL46" s="21"/>
      <c r="AM46" s="21"/>
      <c r="AN46" s="21">
        <v>2700</v>
      </c>
      <c r="AO46" s="21"/>
      <c r="AP46" s="21"/>
      <c r="AQ46" s="21"/>
      <c r="AR46" s="21">
        <v>2550</v>
      </c>
      <c r="AS46" s="21"/>
      <c r="AT46" s="21"/>
      <c r="AU46" s="21"/>
      <c r="AV46" s="21">
        <v>2400</v>
      </c>
      <c r="AW46" s="21"/>
      <c r="AX46" s="21"/>
      <c r="AY46" s="21"/>
      <c r="AZ46" s="21">
        <v>1770</v>
      </c>
      <c r="BA46" s="21"/>
      <c r="BB46" s="21"/>
      <c r="BC46" s="21"/>
      <c r="BD46" s="16">
        <f t="shared" si="1"/>
        <v>30000</v>
      </c>
      <c r="BE46" s="16">
        <f t="shared" si="1"/>
        <v>4366</v>
      </c>
      <c r="BF46" s="16">
        <f t="shared" si="1"/>
        <v>3428</v>
      </c>
      <c r="BG46" s="16">
        <f t="shared" si="1"/>
        <v>726</v>
      </c>
      <c r="BH46" s="16">
        <v>15000</v>
      </c>
      <c r="BI46" s="16">
        <v>10000</v>
      </c>
      <c r="BJ46" s="16">
        <v>7000</v>
      </c>
      <c r="BK46" s="16"/>
      <c r="BL46" s="7"/>
    </row>
    <row r="47" spans="2:64" hidden="1" x14ac:dyDescent="0.25">
      <c r="B47" s="14">
        <f>SUBTOTAL(3,$C$8:C47)</f>
        <v>0</v>
      </c>
      <c r="C47" s="15" t="s">
        <v>63</v>
      </c>
      <c r="D47" s="15" t="s">
        <v>71</v>
      </c>
      <c r="E47" s="15" t="s">
        <v>73</v>
      </c>
      <c r="F47" s="15" t="s">
        <v>116</v>
      </c>
      <c r="G47" s="15"/>
      <c r="H47" s="21">
        <v>8190</v>
      </c>
      <c r="I47" s="21">
        <v>6983</v>
      </c>
      <c r="J47" s="21"/>
      <c r="K47" s="21"/>
      <c r="L47" s="21">
        <v>8190</v>
      </c>
      <c r="M47" s="21"/>
      <c r="N47" s="21"/>
      <c r="O47" s="21"/>
      <c r="P47" s="21">
        <v>6510</v>
      </c>
      <c r="Q47" s="21">
        <v>5279</v>
      </c>
      <c r="R47" s="21"/>
      <c r="S47" s="21"/>
      <c r="T47" s="21">
        <v>7440</v>
      </c>
      <c r="U47" s="21"/>
      <c r="V47" s="21">
        <v>0</v>
      </c>
      <c r="W47" s="21"/>
      <c r="X47" s="21">
        <v>8370</v>
      </c>
      <c r="Y47" s="21"/>
      <c r="Z47" s="21"/>
      <c r="AA47" s="21"/>
      <c r="AB47" s="21">
        <v>8370</v>
      </c>
      <c r="AC47" s="21"/>
      <c r="AD47" s="21"/>
      <c r="AE47" s="21"/>
      <c r="AF47" s="21">
        <v>8370</v>
      </c>
      <c r="AG47" s="21"/>
      <c r="AH47" s="21"/>
      <c r="AI47" s="21"/>
      <c r="AJ47" s="21">
        <v>8370</v>
      </c>
      <c r="AK47" s="21"/>
      <c r="AL47" s="21"/>
      <c r="AM47" s="21"/>
      <c r="AN47" s="21">
        <v>8370</v>
      </c>
      <c r="AO47" s="21"/>
      <c r="AP47" s="21"/>
      <c r="AQ47" s="21"/>
      <c r="AR47" s="21">
        <v>7910</v>
      </c>
      <c r="AS47" s="21"/>
      <c r="AT47" s="21"/>
      <c r="AU47" s="21"/>
      <c r="AV47" s="21">
        <v>7440</v>
      </c>
      <c r="AW47" s="21"/>
      <c r="AX47" s="21"/>
      <c r="AY47" s="21"/>
      <c r="AZ47" s="21">
        <v>5470</v>
      </c>
      <c r="BA47" s="21"/>
      <c r="BB47" s="21"/>
      <c r="BC47" s="21"/>
      <c r="BD47" s="16">
        <f t="shared" si="1"/>
        <v>93000</v>
      </c>
      <c r="BE47" s="16">
        <f t="shared" si="1"/>
        <v>12262</v>
      </c>
      <c r="BF47" s="16">
        <f t="shared" si="1"/>
        <v>0</v>
      </c>
      <c r="BG47" s="16">
        <f t="shared" si="1"/>
        <v>0</v>
      </c>
      <c r="BH47" s="16">
        <v>10000</v>
      </c>
      <c r="BI47" s="16">
        <v>5000</v>
      </c>
      <c r="BJ47" s="16">
        <v>3000</v>
      </c>
      <c r="BK47" s="16"/>
      <c r="BL47" s="7"/>
    </row>
    <row r="48" spans="2:64" hidden="1" x14ac:dyDescent="0.25">
      <c r="B48" s="14">
        <f>SUBTOTAL(3,$C$8:C48)</f>
        <v>0</v>
      </c>
      <c r="C48" s="15" t="s">
        <v>63</v>
      </c>
      <c r="D48" s="15" t="s">
        <v>71</v>
      </c>
      <c r="E48" s="15" t="s">
        <v>74</v>
      </c>
      <c r="F48" s="15" t="s">
        <v>116</v>
      </c>
      <c r="G48" s="15"/>
      <c r="H48" s="21">
        <v>2200</v>
      </c>
      <c r="I48" s="21">
        <v>394</v>
      </c>
      <c r="J48" s="21"/>
      <c r="K48" s="21"/>
      <c r="L48" s="21">
        <v>2200</v>
      </c>
      <c r="M48" s="21"/>
      <c r="N48" s="21"/>
      <c r="O48" s="21"/>
      <c r="P48" s="21">
        <v>1750</v>
      </c>
      <c r="Q48" s="21">
        <v>995</v>
      </c>
      <c r="R48" s="21"/>
      <c r="S48" s="21"/>
      <c r="T48" s="21">
        <v>2000</v>
      </c>
      <c r="U48" s="21"/>
      <c r="V48" s="21">
        <v>0</v>
      </c>
      <c r="W48" s="21"/>
      <c r="X48" s="21">
        <v>2250</v>
      </c>
      <c r="Y48" s="21"/>
      <c r="Z48" s="21"/>
      <c r="AA48" s="21"/>
      <c r="AB48" s="21">
        <v>2250</v>
      </c>
      <c r="AC48" s="21"/>
      <c r="AD48" s="21"/>
      <c r="AE48" s="21"/>
      <c r="AF48" s="21">
        <v>2250</v>
      </c>
      <c r="AG48" s="21"/>
      <c r="AH48" s="21"/>
      <c r="AI48" s="21"/>
      <c r="AJ48" s="21">
        <v>2250</v>
      </c>
      <c r="AK48" s="21"/>
      <c r="AL48" s="21"/>
      <c r="AM48" s="21"/>
      <c r="AN48" s="21">
        <v>2250</v>
      </c>
      <c r="AO48" s="21"/>
      <c r="AP48" s="21"/>
      <c r="AQ48" s="21"/>
      <c r="AR48" s="21">
        <v>2130</v>
      </c>
      <c r="AS48" s="21"/>
      <c r="AT48" s="21"/>
      <c r="AU48" s="21"/>
      <c r="AV48" s="21">
        <v>2000</v>
      </c>
      <c r="AW48" s="21"/>
      <c r="AX48" s="21"/>
      <c r="AY48" s="21"/>
      <c r="AZ48" s="21">
        <v>1470</v>
      </c>
      <c r="BA48" s="21"/>
      <c r="BB48" s="21"/>
      <c r="BC48" s="21"/>
      <c r="BD48" s="16">
        <f t="shared" si="1"/>
        <v>25000</v>
      </c>
      <c r="BE48" s="16">
        <f t="shared" si="1"/>
        <v>1389</v>
      </c>
      <c r="BF48" s="16">
        <f t="shared" si="1"/>
        <v>0</v>
      </c>
      <c r="BG48" s="16">
        <f t="shared" si="1"/>
        <v>0</v>
      </c>
      <c r="BH48" s="16">
        <v>15000</v>
      </c>
      <c r="BI48" s="16">
        <v>10000</v>
      </c>
      <c r="BJ48" s="16">
        <v>8000</v>
      </c>
      <c r="BK48" s="16"/>
      <c r="BL48" s="7"/>
    </row>
    <row r="49" spans="2:64" hidden="1" x14ac:dyDescent="0.25">
      <c r="B49" s="14">
        <f>SUBTOTAL(3,$C$8:C49)</f>
        <v>0</v>
      </c>
      <c r="C49" s="15" t="s">
        <v>63</v>
      </c>
      <c r="D49" s="15" t="s">
        <v>112</v>
      </c>
      <c r="E49" s="15" t="s">
        <v>75</v>
      </c>
      <c r="F49" s="15" t="s">
        <v>116</v>
      </c>
      <c r="G49" s="15"/>
      <c r="H49" s="21">
        <v>15840</v>
      </c>
      <c r="I49" s="21">
        <v>7031</v>
      </c>
      <c r="J49" s="21"/>
      <c r="K49" s="21">
        <v>0</v>
      </c>
      <c r="L49" s="21">
        <v>15840</v>
      </c>
      <c r="M49" s="21">
        <v>9349</v>
      </c>
      <c r="N49" s="21"/>
      <c r="O49" s="21">
        <v>1024</v>
      </c>
      <c r="P49" s="21">
        <v>12600</v>
      </c>
      <c r="Q49" s="21">
        <v>8120</v>
      </c>
      <c r="R49" s="21"/>
      <c r="S49" s="21">
        <v>343</v>
      </c>
      <c r="T49" s="21">
        <v>14400</v>
      </c>
      <c r="U49" s="21"/>
      <c r="V49" s="21">
        <v>672</v>
      </c>
      <c r="W49" s="21"/>
      <c r="X49" s="21">
        <v>16200</v>
      </c>
      <c r="Y49" s="21"/>
      <c r="Z49" s="21"/>
      <c r="AA49" s="21"/>
      <c r="AB49" s="21">
        <v>16200</v>
      </c>
      <c r="AC49" s="21"/>
      <c r="AD49" s="21"/>
      <c r="AE49" s="21"/>
      <c r="AF49" s="21">
        <v>16200</v>
      </c>
      <c r="AG49" s="21"/>
      <c r="AH49" s="21"/>
      <c r="AI49" s="21"/>
      <c r="AJ49" s="21">
        <v>16200</v>
      </c>
      <c r="AK49" s="21"/>
      <c r="AL49" s="21"/>
      <c r="AM49" s="21"/>
      <c r="AN49" s="21">
        <v>16200</v>
      </c>
      <c r="AO49" s="21"/>
      <c r="AP49" s="21"/>
      <c r="AQ49" s="21"/>
      <c r="AR49" s="21">
        <v>15300</v>
      </c>
      <c r="AS49" s="21"/>
      <c r="AT49" s="21"/>
      <c r="AU49" s="21"/>
      <c r="AV49" s="21">
        <v>14400</v>
      </c>
      <c r="AW49" s="21"/>
      <c r="AX49" s="21"/>
      <c r="AY49" s="21"/>
      <c r="AZ49" s="21">
        <v>10620</v>
      </c>
      <c r="BA49" s="21"/>
      <c r="BB49" s="21"/>
      <c r="BC49" s="21"/>
      <c r="BD49" s="16">
        <f t="shared" si="1"/>
        <v>180000</v>
      </c>
      <c r="BE49" s="16">
        <f t="shared" si="1"/>
        <v>24500</v>
      </c>
      <c r="BF49" s="16">
        <f t="shared" si="1"/>
        <v>672</v>
      </c>
      <c r="BG49" s="16">
        <f t="shared" si="1"/>
        <v>1367</v>
      </c>
      <c r="BH49" s="16">
        <v>15000</v>
      </c>
      <c r="BI49" s="16">
        <v>10000</v>
      </c>
      <c r="BJ49" s="16">
        <v>8000</v>
      </c>
      <c r="BK49" s="16"/>
      <c r="BL49" s="7"/>
    </row>
    <row r="50" spans="2:64" hidden="1" x14ac:dyDescent="0.25">
      <c r="B50" s="14">
        <f>SUBTOTAL(3,$C$8:C50)</f>
        <v>0</v>
      </c>
      <c r="C50" s="15" t="s">
        <v>64</v>
      </c>
      <c r="D50" s="15" t="s">
        <v>103</v>
      </c>
      <c r="E50" s="15" t="s">
        <v>76</v>
      </c>
      <c r="F50" s="15" t="s">
        <v>117</v>
      </c>
      <c r="G50" s="15"/>
      <c r="H50" s="21">
        <v>3700</v>
      </c>
      <c r="I50" s="21">
        <v>2719</v>
      </c>
      <c r="J50" s="21"/>
      <c r="K50" s="21"/>
      <c r="L50" s="21">
        <v>3700</v>
      </c>
      <c r="M50" s="21">
        <v>2305</v>
      </c>
      <c r="N50" s="21"/>
      <c r="O50" s="21"/>
      <c r="P50" s="21">
        <v>2940</v>
      </c>
      <c r="Q50" s="21">
        <v>2118</v>
      </c>
      <c r="R50" s="21"/>
      <c r="S50" s="21"/>
      <c r="T50" s="21">
        <v>3360</v>
      </c>
      <c r="U50" s="21"/>
      <c r="V50" s="21">
        <v>0</v>
      </c>
      <c r="W50" s="21"/>
      <c r="X50" s="21">
        <v>3780</v>
      </c>
      <c r="Y50" s="21"/>
      <c r="Z50" s="21"/>
      <c r="AA50" s="21"/>
      <c r="AB50" s="21">
        <v>3780</v>
      </c>
      <c r="AC50" s="21"/>
      <c r="AD50" s="21"/>
      <c r="AE50" s="21"/>
      <c r="AF50" s="21">
        <v>3780</v>
      </c>
      <c r="AG50" s="21"/>
      <c r="AH50" s="21"/>
      <c r="AI50" s="21"/>
      <c r="AJ50" s="21">
        <v>3780</v>
      </c>
      <c r="AK50" s="21"/>
      <c r="AL50" s="21"/>
      <c r="AM50" s="21"/>
      <c r="AN50" s="21">
        <v>3780</v>
      </c>
      <c r="AO50" s="21"/>
      <c r="AP50" s="21"/>
      <c r="AQ50" s="21"/>
      <c r="AR50" s="21">
        <v>3570</v>
      </c>
      <c r="AS50" s="21"/>
      <c r="AT50" s="21"/>
      <c r="AU50" s="21"/>
      <c r="AV50" s="21">
        <v>3360</v>
      </c>
      <c r="AW50" s="21"/>
      <c r="AX50" s="21"/>
      <c r="AY50" s="21"/>
      <c r="AZ50" s="21">
        <v>2470</v>
      </c>
      <c r="BA50" s="21"/>
      <c r="BB50" s="21"/>
      <c r="BC50" s="21"/>
      <c r="BD50" s="16">
        <f t="shared" si="1"/>
        <v>42000</v>
      </c>
      <c r="BE50" s="16">
        <f t="shared" si="1"/>
        <v>7142</v>
      </c>
      <c r="BF50" s="16">
        <f t="shared" si="1"/>
        <v>0</v>
      </c>
      <c r="BG50" s="16">
        <f t="shared" si="1"/>
        <v>0</v>
      </c>
      <c r="BH50" s="16">
        <v>10000</v>
      </c>
      <c r="BI50" s="16">
        <v>5000</v>
      </c>
      <c r="BJ50" s="16">
        <v>3000</v>
      </c>
      <c r="BK50" s="16"/>
      <c r="BL50" s="7"/>
    </row>
    <row r="51" spans="2:64" hidden="1" x14ac:dyDescent="0.25">
      <c r="B51" s="14">
        <f>SUBTOTAL(3,$C$8:C51)</f>
        <v>0</v>
      </c>
      <c r="C51" s="15" t="s">
        <v>64</v>
      </c>
      <c r="D51" s="15" t="s">
        <v>103</v>
      </c>
      <c r="E51" s="15" t="s">
        <v>77</v>
      </c>
      <c r="F51" s="15" t="s">
        <v>117</v>
      </c>
      <c r="G51" s="15"/>
      <c r="H51" s="21">
        <v>1500</v>
      </c>
      <c r="I51" s="21">
        <v>582</v>
      </c>
      <c r="J51" s="21"/>
      <c r="K51" s="21"/>
      <c r="L51" s="21">
        <v>1500</v>
      </c>
      <c r="M51" s="21"/>
      <c r="N51" s="21"/>
      <c r="O51" s="21"/>
      <c r="P51" s="21">
        <v>1190</v>
      </c>
      <c r="Q51" s="21">
        <v>1462</v>
      </c>
      <c r="R51" s="21"/>
      <c r="S51" s="21"/>
      <c r="T51" s="21">
        <v>1360</v>
      </c>
      <c r="U51" s="21"/>
      <c r="V51" s="21"/>
      <c r="W51" s="21"/>
      <c r="X51" s="21">
        <v>1530</v>
      </c>
      <c r="Y51" s="21"/>
      <c r="Z51" s="21"/>
      <c r="AA51" s="21"/>
      <c r="AB51" s="21">
        <v>1530</v>
      </c>
      <c r="AC51" s="21"/>
      <c r="AD51" s="21"/>
      <c r="AE51" s="21"/>
      <c r="AF51" s="21">
        <v>1530</v>
      </c>
      <c r="AG51" s="21"/>
      <c r="AH51" s="21"/>
      <c r="AI51" s="21"/>
      <c r="AJ51" s="21">
        <v>1530</v>
      </c>
      <c r="AK51" s="21"/>
      <c r="AL51" s="21"/>
      <c r="AM51" s="21"/>
      <c r="AN51" s="21">
        <v>1530</v>
      </c>
      <c r="AO51" s="21"/>
      <c r="AP51" s="21"/>
      <c r="AQ51" s="21"/>
      <c r="AR51" s="21">
        <v>1450</v>
      </c>
      <c r="AS51" s="21"/>
      <c r="AT51" s="21"/>
      <c r="AU51" s="21"/>
      <c r="AV51" s="21">
        <v>1360</v>
      </c>
      <c r="AW51" s="21"/>
      <c r="AX51" s="21"/>
      <c r="AY51" s="21"/>
      <c r="AZ51" s="21">
        <v>990</v>
      </c>
      <c r="BA51" s="21"/>
      <c r="BB51" s="21"/>
      <c r="BC51" s="21"/>
      <c r="BD51" s="16">
        <f t="shared" si="1"/>
        <v>17000</v>
      </c>
      <c r="BE51" s="16">
        <f t="shared" si="1"/>
        <v>2044</v>
      </c>
      <c r="BF51" s="16">
        <f t="shared" si="1"/>
        <v>0</v>
      </c>
      <c r="BG51" s="16">
        <f t="shared" si="1"/>
        <v>0</v>
      </c>
      <c r="BH51" s="16">
        <v>10000</v>
      </c>
      <c r="BI51" s="16">
        <v>5000</v>
      </c>
      <c r="BJ51" s="16">
        <v>3000</v>
      </c>
      <c r="BK51" s="16"/>
      <c r="BL51" s="7"/>
    </row>
    <row r="52" spans="2:64" hidden="1" x14ac:dyDescent="0.25">
      <c r="B52" s="14">
        <f>SUBTOTAL(3,$C$8:C52)</f>
        <v>0</v>
      </c>
      <c r="C52" s="15" t="s">
        <v>64</v>
      </c>
      <c r="D52" s="15" t="s">
        <v>103</v>
      </c>
      <c r="E52" s="15" t="s">
        <v>78</v>
      </c>
      <c r="F52" s="15" t="s">
        <v>117</v>
      </c>
      <c r="G52" s="15"/>
      <c r="H52" s="21">
        <v>2120</v>
      </c>
      <c r="I52" s="21">
        <v>1410</v>
      </c>
      <c r="J52" s="21"/>
      <c r="K52" s="21"/>
      <c r="L52" s="21">
        <v>2120</v>
      </c>
      <c r="M52" s="21"/>
      <c r="N52" s="21"/>
      <c r="O52" s="21"/>
      <c r="P52" s="21">
        <v>1680</v>
      </c>
      <c r="Q52" s="21">
        <v>1039</v>
      </c>
      <c r="R52" s="21"/>
      <c r="S52" s="21"/>
      <c r="T52" s="21">
        <v>1920</v>
      </c>
      <c r="U52" s="21"/>
      <c r="V52" s="21"/>
      <c r="W52" s="21"/>
      <c r="X52" s="21">
        <v>2160</v>
      </c>
      <c r="Y52" s="21"/>
      <c r="Z52" s="21"/>
      <c r="AA52" s="21"/>
      <c r="AB52" s="21">
        <v>2160</v>
      </c>
      <c r="AC52" s="21"/>
      <c r="AD52" s="21"/>
      <c r="AE52" s="21"/>
      <c r="AF52" s="21">
        <v>2160</v>
      </c>
      <c r="AG52" s="21"/>
      <c r="AH52" s="21"/>
      <c r="AI52" s="21"/>
      <c r="AJ52" s="21">
        <v>2160</v>
      </c>
      <c r="AK52" s="21"/>
      <c r="AL52" s="21"/>
      <c r="AM52" s="21"/>
      <c r="AN52" s="21">
        <v>2160</v>
      </c>
      <c r="AO52" s="21"/>
      <c r="AP52" s="21"/>
      <c r="AQ52" s="21"/>
      <c r="AR52" s="21">
        <v>2040</v>
      </c>
      <c r="AS52" s="21"/>
      <c r="AT52" s="21"/>
      <c r="AU52" s="21"/>
      <c r="AV52" s="21">
        <v>1920</v>
      </c>
      <c r="AW52" s="21"/>
      <c r="AX52" s="21"/>
      <c r="AY52" s="21"/>
      <c r="AZ52" s="21">
        <v>1400</v>
      </c>
      <c r="BA52" s="21"/>
      <c r="BB52" s="21"/>
      <c r="BC52" s="21"/>
      <c r="BD52" s="16">
        <f t="shared" si="1"/>
        <v>24000</v>
      </c>
      <c r="BE52" s="16">
        <f t="shared" si="1"/>
        <v>2449</v>
      </c>
      <c r="BF52" s="16">
        <f t="shared" si="1"/>
        <v>0</v>
      </c>
      <c r="BG52" s="16">
        <f t="shared" si="1"/>
        <v>0</v>
      </c>
      <c r="BH52" s="16">
        <v>10000</v>
      </c>
      <c r="BI52" s="16">
        <v>5000</v>
      </c>
      <c r="BJ52" s="16">
        <v>3000</v>
      </c>
      <c r="BK52" s="16"/>
      <c r="BL52" s="7"/>
    </row>
    <row r="53" spans="2:64" hidden="1" x14ac:dyDescent="0.25">
      <c r="B53" s="14">
        <f>SUBTOTAL(3,$C$8:C53)</f>
        <v>0</v>
      </c>
      <c r="C53" s="15" t="s">
        <v>64</v>
      </c>
      <c r="D53" s="15" t="s">
        <v>103</v>
      </c>
      <c r="E53" s="15" t="s">
        <v>79</v>
      </c>
      <c r="F53" s="15" t="s">
        <v>117</v>
      </c>
      <c r="G53" s="15"/>
      <c r="H53" s="21">
        <v>1320</v>
      </c>
      <c r="I53" s="21">
        <v>4325</v>
      </c>
      <c r="J53" s="21"/>
      <c r="K53" s="21"/>
      <c r="L53" s="21">
        <v>1320</v>
      </c>
      <c r="M53" s="21"/>
      <c r="N53" s="21"/>
      <c r="O53" s="21"/>
      <c r="P53" s="21">
        <v>1050</v>
      </c>
      <c r="Q53" s="21">
        <v>2064</v>
      </c>
      <c r="R53" s="21"/>
      <c r="S53" s="21"/>
      <c r="T53" s="21">
        <v>1200</v>
      </c>
      <c r="U53" s="21"/>
      <c r="V53" s="21">
        <v>0</v>
      </c>
      <c r="W53" s="21"/>
      <c r="X53" s="21">
        <v>1350</v>
      </c>
      <c r="Y53" s="21"/>
      <c r="Z53" s="21"/>
      <c r="AA53" s="21"/>
      <c r="AB53" s="21">
        <v>1350</v>
      </c>
      <c r="AC53" s="21"/>
      <c r="AD53" s="21"/>
      <c r="AE53" s="21"/>
      <c r="AF53" s="21">
        <v>1350</v>
      </c>
      <c r="AG53" s="21"/>
      <c r="AH53" s="21"/>
      <c r="AI53" s="21"/>
      <c r="AJ53" s="21">
        <v>1350</v>
      </c>
      <c r="AK53" s="21"/>
      <c r="AL53" s="21"/>
      <c r="AM53" s="21"/>
      <c r="AN53" s="21">
        <v>1350</v>
      </c>
      <c r="AO53" s="21"/>
      <c r="AP53" s="21"/>
      <c r="AQ53" s="21"/>
      <c r="AR53" s="21">
        <v>1280</v>
      </c>
      <c r="AS53" s="21"/>
      <c r="AT53" s="21"/>
      <c r="AU53" s="21"/>
      <c r="AV53" s="21">
        <v>1200</v>
      </c>
      <c r="AW53" s="21"/>
      <c r="AX53" s="21"/>
      <c r="AY53" s="21"/>
      <c r="AZ53" s="21">
        <v>880</v>
      </c>
      <c r="BA53" s="21"/>
      <c r="BB53" s="21"/>
      <c r="BC53" s="21"/>
      <c r="BD53" s="16">
        <f t="shared" si="1"/>
        <v>15000</v>
      </c>
      <c r="BE53" s="16">
        <f t="shared" si="1"/>
        <v>6389</v>
      </c>
      <c r="BF53" s="16">
        <f t="shared" si="1"/>
        <v>0</v>
      </c>
      <c r="BG53" s="16">
        <f t="shared" si="1"/>
        <v>0</v>
      </c>
      <c r="BH53" s="16">
        <v>10000</v>
      </c>
      <c r="BI53" s="16">
        <v>5000</v>
      </c>
      <c r="BJ53" s="16">
        <v>3000</v>
      </c>
      <c r="BK53" s="16"/>
      <c r="BL53" s="7"/>
    </row>
    <row r="54" spans="2:64" hidden="1" x14ac:dyDescent="0.25">
      <c r="B54" s="14">
        <f>SUBTOTAL(3,$C$8:C54)</f>
        <v>0</v>
      </c>
      <c r="C54" s="15" t="s">
        <v>64</v>
      </c>
      <c r="D54" s="15" t="s">
        <v>104</v>
      </c>
      <c r="E54" s="15" t="s">
        <v>80</v>
      </c>
      <c r="F54" s="15" t="s">
        <v>117</v>
      </c>
      <c r="G54" s="15"/>
      <c r="H54" s="21">
        <v>2860</v>
      </c>
      <c r="I54" s="21">
        <v>2920</v>
      </c>
      <c r="J54" s="21"/>
      <c r="K54" s="21"/>
      <c r="L54" s="21">
        <v>2860</v>
      </c>
      <c r="M54" s="21"/>
      <c r="N54" s="21"/>
      <c r="O54" s="21"/>
      <c r="P54" s="21">
        <v>2270</v>
      </c>
      <c r="Q54" s="21">
        <v>2402</v>
      </c>
      <c r="R54" s="21"/>
      <c r="S54" s="21"/>
      <c r="T54" s="21">
        <v>2600</v>
      </c>
      <c r="U54" s="21"/>
      <c r="V54" s="21">
        <v>0</v>
      </c>
      <c r="W54" s="21"/>
      <c r="X54" s="21">
        <v>2920</v>
      </c>
      <c r="Y54" s="21"/>
      <c r="Z54" s="21"/>
      <c r="AA54" s="21"/>
      <c r="AB54" s="21">
        <v>2920</v>
      </c>
      <c r="AC54" s="21"/>
      <c r="AD54" s="21"/>
      <c r="AE54" s="21"/>
      <c r="AF54" s="21">
        <v>2920</v>
      </c>
      <c r="AG54" s="21"/>
      <c r="AH54" s="21"/>
      <c r="AI54" s="21"/>
      <c r="AJ54" s="21">
        <v>2920</v>
      </c>
      <c r="AK54" s="21"/>
      <c r="AL54" s="21"/>
      <c r="AM54" s="21"/>
      <c r="AN54" s="21">
        <v>2920</v>
      </c>
      <c r="AO54" s="21"/>
      <c r="AP54" s="21"/>
      <c r="AQ54" s="21"/>
      <c r="AR54" s="21">
        <v>2760</v>
      </c>
      <c r="AS54" s="21"/>
      <c r="AT54" s="21"/>
      <c r="AU54" s="21"/>
      <c r="AV54" s="21">
        <v>2600</v>
      </c>
      <c r="AW54" s="21"/>
      <c r="AX54" s="21"/>
      <c r="AY54" s="21"/>
      <c r="AZ54" s="21">
        <v>1850</v>
      </c>
      <c r="BA54" s="21"/>
      <c r="BB54" s="21"/>
      <c r="BC54" s="21"/>
      <c r="BD54" s="16">
        <f t="shared" si="1"/>
        <v>32400</v>
      </c>
      <c r="BE54" s="16">
        <f t="shared" si="1"/>
        <v>5322</v>
      </c>
      <c r="BF54" s="16">
        <f t="shared" si="1"/>
        <v>0</v>
      </c>
      <c r="BG54" s="16">
        <f t="shared" si="1"/>
        <v>0</v>
      </c>
      <c r="BH54" s="16">
        <v>10000</v>
      </c>
      <c r="BI54" s="16">
        <v>4000</v>
      </c>
      <c r="BJ54" s="16">
        <v>3000</v>
      </c>
      <c r="BK54" s="16"/>
      <c r="BL54" s="7"/>
    </row>
    <row r="55" spans="2:64" hidden="1" x14ac:dyDescent="0.25">
      <c r="B55" s="14">
        <f>SUBTOTAL(3,$C$8:C55)</f>
        <v>0</v>
      </c>
      <c r="C55" s="15" t="s">
        <v>64</v>
      </c>
      <c r="D55" s="15" t="s">
        <v>104</v>
      </c>
      <c r="E55" s="15" t="s">
        <v>81</v>
      </c>
      <c r="F55" s="15" t="s">
        <v>117</v>
      </c>
      <c r="G55" s="15"/>
      <c r="H55" s="21">
        <v>2640</v>
      </c>
      <c r="I55" s="21">
        <v>378</v>
      </c>
      <c r="J55" s="21"/>
      <c r="K55" s="21"/>
      <c r="L55" s="21">
        <v>2640</v>
      </c>
      <c r="M55" s="21"/>
      <c r="N55" s="21"/>
      <c r="O55" s="21"/>
      <c r="P55" s="21">
        <v>2100</v>
      </c>
      <c r="Q55" s="21">
        <v>176</v>
      </c>
      <c r="R55" s="21"/>
      <c r="S55" s="21"/>
      <c r="T55" s="21">
        <v>2400</v>
      </c>
      <c r="U55" s="21"/>
      <c r="V55" s="21">
        <v>0</v>
      </c>
      <c r="W55" s="21"/>
      <c r="X55" s="21">
        <v>2700</v>
      </c>
      <c r="Y55" s="21"/>
      <c r="Z55" s="21"/>
      <c r="AA55" s="21"/>
      <c r="AB55" s="21">
        <v>2700</v>
      </c>
      <c r="AC55" s="21"/>
      <c r="AD55" s="21"/>
      <c r="AE55" s="21"/>
      <c r="AF55" s="21">
        <v>2700</v>
      </c>
      <c r="AG55" s="21"/>
      <c r="AH55" s="21"/>
      <c r="AI55" s="21"/>
      <c r="AJ55" s="21">
        <v>2700</v>
      </c>
      <c r="AK55" s="21"/>
      <c r="AL55" s="21"/>
      <c r="AM55" s="21"/>
      <c r="AN55" s="21">
        <v>2700</v>
      </c>
      <c r="AO55" s="21"/>
      <c r="AP55" s="21"/>
      <c r="AQ55" s="21"/>
      <c r="AR55" s="21">
        <v>2550</v>
      </c>
      <c r="AS55" s="21"/>
      <c r="AT55" s="21"/>
      <c r="AU55" s="21"/>
      <c r="AV55" s="21">
        <v>2400</v>
      </c>
      <c r="AW55" s="21"/>
      <c r="AX55" s="21"/>
      <c r="AY55" s="21"/>
      <c r="AZ55" s="21">
        <v>1770</v>
      </c>
      <c r="BA55" s="21"/>
      <c r="BB55" s="21"/>
      <c r="BC55" s="21"/>
      <c r="BD55" s="16">
        <f t="shared" si="1"/>
        <v>30000</v>
      </c>
      <c r="BE55" s="16">
        <f t="shared" si="1"/>
        <v>554</v>
      </c>
      <c r="BF55" s="16">
        <f t="shared" si="1"/>
        <v>0</v>
      </c>
      <c r="BG55" s="16">
        <f t="shared" si="1"/>
        <v>0</v>
      </c>
      <c r="BH55" s="16">
        <v>10000</v>
      </c>
      <c r="BI55" s="16">
        <v>4000</v>
      </c>
      <c r="BJ55" s="16">
        <v>3000</v>
      </c>
      <c r="BK55" s="16"/>
      <c r="BL55" s="7"/>
    </row>
    <row r="56" spans="2:64" x14ac:dyDescent="0.25">
      <c r="B56" s="14">
        <f>SUBTOTAL(3,$C$8:C56)</f>
        <v>1</v>
      </c>
      <c r="C56" s="15" t="s">
        <v>64</v>
      </c>
      <c r="D56" s="15" t="s">
        <v>104</v>
      </c>
      <c r="E56" s="15" t="s">
        <v>137</v>
      </c>
      <c r="F56" s="15" t="s">
        <v>117</v>
      </c>
      <c r="G56" s="15" t="s">
        <v>139</v>
      </c>
      <c r="H56" s="21">
        <v>2120</v>
      </c>
      <c r="I56" s="21">
        <v>1456</v>
      </c>
      <c r="J56" s="21"/>
      <c r="K56" s="21">
        <v>467</v>
      </c>
      <c r="L56" s="21">
        <v>2120</v>
      </c>
      <c r="M56" s="21"/>
      <c r="N56" s="21"/>
      <c r="O56" s="21"/>
      <c r="P56" s="21">
        <v>1680</v>
      </c>
      <c r="Q56" s="21">
        <v>1352</v>
      </c>
      <c r="R56" s="21"/>
      <c r="S56" s="21">
        <v>361</v>
      </c>
      <c r="T56" s="21">
        <v>1920</v>
      </c>
      <c r="U56" s="21"/>
      <c r="V56" s="21">
        <v>0</v>
      </c>
      <c r="W56" s="21"/>
      <c r="X56" s="21">
        <v>2160</v>
      </c>
      <c r="Y56" s="21"/>
      <c r="Z56" s="21">
        <v>1000</v>
      </c>
      <c r="AA56" s="21"/>
      <c r="AB56" s="21">
        <v>2160</v>
      </c>
      <c r="AC56" s="21"/>
      <c r="AD56" s="21">
        <v>1500</v>
      </c>
      <c r="AE56" s="21"/>
      <c r="AF56" s="21">
        <v>2160</v>
      </c>
      <c r="AG56" s="21"/>
      <c r="AH56" s="21">
        <v>1500</v>
      </c>
      <c r="AI56" s="21"/>
      <c r="AJ56" s="21">
        <v>2160</v>
      </c>
      <c r="AK56" s="21"/>
      <c r="AL56" s="21">
        <v>1500</v>
      </c>
      <c r="AM56" s="21"/>
      <c r="AN56" s="21">
        <v>2160</v>
      </c>
      <c r="AO56" s="21"/>
      <c r="AP56" s="21">
        <v>1500</v>
      </c>
      <c r="AQ56" s="21"/>
      <c r="AR56" s="21">
        <v>2040</v>
      </c>
      <c r="AS56" s="21"/>
      <c r="AT56" s="21">
        <v>1000</v>
      </c>
      <c r="AU56" s="21"/>
      <c r="AV56" s="21">
        <v>1920</v>
      </c>
      <c r="AW56" s="21"/>
      <c r="AX56" s="21">
        <v>1000</v>
      </c>
      <c r="AY56" s="21"/>
      <c r="AZ56" s="21">
        <v>1400</v>
      </c>
      <c r="BA56" s="21"/>
      <c r="BB56" s="21"/>
      <c r="BC56" s="21"/>
      <c r="BD56" s="16">
        <f t="shared" si="1"/>
        <v>24000</v>
      </c>
      <c r="BE56" s="16">
        <f t="shared" si="1"/>
        <v>2808</v>
      </c>
      <c r="BF56" s="16">
        <f t="shared" si="1"/>
        <v>9000</v>
      </c>
      <c r="BG56" s="16">
        <f t="shared" si="1"/>
        <v>828</v>
      </c>
      <c r="BH56" s="16">
        <v>10000</v>
      </c>
      <c r="BI56" s="16">
        <v>4000</v>
      </c>
      <c r="BJ56" s="16">
        <v>3000</v>
      </c>
      <c r="BK56" s="16">
        <v>8000</v>
      </c>
      <c r="BL56" s="7"/>
    </row>
    <row r="57" spans="2:64" x14ac:dyDescent="0.25">
      <c r="B57" s="14">
        <f>SUBTOTAL(3,$C$8:C57)</f>
        <v>2</v>
      </c>
      <c r="C57" s="15" t="s">
        <v>64</v>
      </c>
      <c r="D57" s="15" t="s">
        <v>104</v>
      </c>
      <c r="E57" s="15" t="s">
        <v>82</v>
      </c>
      <c r="F57" s="15" t="s">
        <v>117</v>
      </c>
      <c r="G57" s="15" t="s">
        <v>139</v>
      </c>
      <c r="H57" s="21">
        <v>3170</v>
      </c>
      <c r="I57" s="21">
        <v>2924</v>
      </c>
      <c r="J57" s="21"/>
      <c r="K57" s="21">
        <v>0</v>
      </c>
      <c r="L57" s="21">
        <v>3170</v>
      </c>
      <c r="M57" s="21">
        <v>2082</v>
      </c>
      <c r="N57" s="21"/>
      <c r="O57" s="21">
        <v>635</v>
      </c>
      <c r="P57" s="21">
        <v>2520</v>
      </c>
      <c r="Q57" s="21">
        <v>823</v>
      </c>
      <c r="R57" s="21"/>
      <c r="S57" s="21">
        <v>124</v>
      </c>
      <c r="T57" s="21">
        <v>2880</v>
      </c>
      <c r="U57" s="21"/>
      <c r="V57" s="21">
        <v>918</v>
      </c>
      <c r="W57" s="21"/>
      <c r="X57" s="21">
        <v>3240</v>
      </c>
      <c r="Y57" s="21"/>
      <c r="Z57" s="21">
        <v>1000</v>
      </c>
      <c r="AA57" s="21"/>
      <c r="AB57" s="21">
        <v>3240</v>
      </c>
      <c r="AC57" s="21"/>
      <c r="AD57" s="21">
        <v>1500</v>
      </c>
      <c r="AE57" s="21"/>
      <c r="AF57" s="21">
        <v>3240</v>
      </c>
      <c r="AG57" s="21"/>
      <c r="AH57" s="21">
        <v>1500</v>
      </c>
      <c r="AI57" s="21"/>
      <c r="AJ57" s="21">
        <v>3240</v>
      </c>
      <c r="AK57" s="21"/>
      <c r="AL57" s="21">
        <v>1500</v>
      </c>
      <c r="AM57" s="21"/>
      <c r="AN57" s="21">
        <v>3240</v>
      </c>
      <c r="AO57" s="21"/>
      <c r="AP57" s="21">
        <v>1500</v>
      </c>
      <c r="AQ57" s="21"/>
      <c r="AR57" s="21">
        <v>3060</v>
      </c>
      <c r="AS57" s="21"/>
      <c r="AT57" s="21">
        <v>1000</v>
      </c>
      <c r="AU57" s="21"/>
      <c r="AV57" s="21">
        <v>2880</v>
      </c>
      <c r="AW57" s="21"/>
      <c r="AX57" s="21">
        <v>1300</v>
      </c>
      <c r="AY57" s="21"/>
      <c r="AZ57" s="21">
        <v>2120</v>
      </c>
      <c r="BA57" s="21"/>
      <c r="BB57" s="21"/>
      <c r="BC57" s="21"/>
      <c r="BD57" s="16">
        <f t="shared" si="1"/>
        <v>36000</v>
      </c>
      <c r="BE57" s="16">
        <f t="shared" si="1"/>
        <v>5829</v>
      </c>
      <c r="BF57" s="16">
        <f t="shared" si="1"/>
        <v>10218</v>
      </c>
      <c r="BG57" s="16">
        <f t="shared" si="1"/>
        <v>759</v>
      </c>
      <c r="BH57" s="16">
        <v>15000</v>
      </c>
      <c r="BI57" s="16">
        <v>10000</v>
      </c>
      <c r="BJ57" s="16">
        <v>7000</v>
      </c>
      <c r="BK57" s="16">
        <v>10000</v>
      </c>
      <c r="BL57" s="7"/>
    </row>
    <row r="58" spans="2:64" hidden="1" x14ac:dyDescent="0.25">
      <c r="B58" s="14">
        <f>SUBTOTAL(3,$C$8:C58)</f>
        <v>2</v>
      </c>
      <c r="C58" s="15" t="s">
        <v>64</v>
      </c>
      <c r="D58" s="15" t="s">
        <v>107</v>
      </c>
      <c r="E58" s="15" t="s">
        <v>83</v>
      </c>
      <c r="F58" s="15" t="s">
        <v>117</v>
      </c>
      <c r="G58" s="15"/>
      <c r="H58" s="21">
        <v>11440</v>
      </c>
      <c r="I58" s="21">
        <v>5390</v>
      </c>
      <c r="J58" s="21"/>
      <c r="K58" s="21"/>
      <c r="L58" s="21">
        <v>11440</v>
      </c>
      <c r="M58" s="21"/>
      <c r="N58" s="21"/>
      <c r="O58" s="21"/>
      <c r="P58" s="21">
        <v>9100</v>
      </c>
      <c r="Q58" s="21">
        <v>6688</v>
      </c>
      <c r="R58" s="21"/>
      <c r="S58" s="21"/>
      <c r="T58" s="21">
        <v>10400</v>
      </c>
      <c r="U58" s="21"/>
      <c r="V58" s="21"/>
      <c r="W58" s="21"/>
      <c r="X58" s="21">
        <v>11700</v>
      </c>
      <c r="Y58" s="21"/>
      <c r="Z58" s="21"/>
      <c r="AA58" s="21"/>
      <c r="AB58" s="21">
        <v>11700</v>
      </c>
      <c r="AC58" s="21"/>
      <c r="AD58" s="21"/>
      <c r="AE58" s="21"/>
      <c r="AF58" s="21">
        <v>11700</v>
      </c>
      <c r="AG58" s="21"/>
      <c r="AH58" s="21"/>
      <c r="AI58" s="21"/>
      <c r="AJ58" s="21">
        <v>11700</v>
      </c>
      <c r="AK58" s="21"/>
      <c r="AL58" s="21"/>
      <c r="AM58" s="21"/>
      <c r="AN58" s="21">
        <v>11700</v>
      </c>
      <c r="AO58" s="21"/>
      <c r="AP58" s="21"/>
      <c r="AQ58" s="21"/>
      <c r="AR58" s="21">
        <v>11050</v>
      </c>
      <c r="AS58" s="21"/>
      <c r="AT58" s="21"/>
      <c r="AU58" s="21"/>
      <c r="AV58" s="21">
        <v>10400</v>
      </c>
      <c r="AW58" s="21"/>
      <c r="AX58" s="21"/>
      <c r="AY58" s="21"/>
      <c r="AZ58" s="21">
        <v>7670</v>
      </c>
      <c r="BA58" s="21"/>
      <c r="BB58" s="21"/>
      <c r="BC58" s="21"/>
      <c r="BD58" s="16">
        <f t="shared" si="1"/>
        <v>130000</v>
      </c>
      <c r="BE58" s="16">
        <f t="shared" si="1"/>
        <v>12078</v>
      </c>
      <c r="BF58" s="16">
        <f t="shared" si="1"/>
        <v>0</v>
      </c>
      <c r="BG58" s="16">
        <f t="shared" si="1"/>
        <v>0</v>
      </c>
      <c r="BH58" s="16">
        <v>15000</v>
      </c>
      <c r="BI58" s="16">
        <v>10000</v>
      </c>
      <c r="BJ58" s="16">
        <v>7000</v>
      </c>
      <c r="BK58" s="16"/>
      <c r="BL58" s="7"/>
    </row>
    <row r="59" spans="2:64" x14ac:dyDescent="0.25">
      <c r="B59" s="14">
        <f>SUBTOTAL(3,$C$8:C59)</f>
        <v>3</v>
      </c>
      <c r="C59" s="15" t="s">
        <v>64</v>
      </c>
      <c r="D59" s="15" t="s">
        <v>107</v>
      </c>
      <c r="E59" s="15" t="s">
        <v>84</v>
      </c>
      <c r="F59" s="15" t="s">
        <v>117</v>
      </c>
      <c r="G59" s="15" t="s">
        <v>139</v>
      </c>
      <c r="H59" s="21">
        <v>7920</v>
      </c>
      <c r="I59" s="21">
        <v>2360</v>
      </c>
      <c r="J59" s="21"/>
      <c r="K59" s="21"/>
      <c r="L59" s="21">
        <v>7920</v>
      </c>
      <c r="M59" s="21"/>
      <c r="N59" s="21"/>
      <c r="O59" s="21"/>
      <c r="P59" s="21">
        <v>6300</v>
      </c>
      <c r="Q59" s="21">
        <v>8072</v>
      </c>
      <c r="R59" s="21"/>
      <c r="S59" s="21"/>
      <c r="T59" s="21">
        <v>7200</v>
      </c>
      <c r="U59" s="21"/>
      <c r="V59" s="21"/>
      <c r="W59" s="21"/>
      <c r="X59" s="21">
        <v>8100</v>
      </c>
      <c r="Y59" s="21"/>
      <c r="Z59" s="21">
        <v>1000</v>
      </c>
      <c r="AA59" s="21"/>
      <c r="AB59" s="21">
        <v>8100</v>
      </c>
      <c r="AC59" s="21"/>
      <c r="AD59" s="21">
        <v>1500</v>
      </c>
      <c r="AE59" s="21"/>
      <c r="AF59" s="21">
        <v>8100</v>
      </c>
      <c r="AG59" s="21"/>
      <c r="AH59" s="21">
        <v>1500</v>
      </c>
      <c r="AI59" s="21"/>
      <c r="AJ59" s="21">
        <v>8100</v>
      </c>
      <c r="AK59" s="21"/>
      <c r="AL59" s="21">
        <v>1500</v>
      </c>
      <c r="AM59" s="21"/>
      <c r="AN59" s="21">
        <v>8100</v>
      </c>
      <c r="AO59" s="21"/>
      <c r="AP59" s="21">
        <v>1500</v>
      </c>
      <c r="AQ59" s="21"/>
      <c r="AR59" s="21">
        <v>7650</v>
      </c>
      <c r="AS59" s="21"/>
      <c r="AT59" s="21">
        <v>1500</v>
      </c>
      <c r="AU59" s="21"/>
      <c r="AV59" s="21">
        <v>7200</v>
      </c>
      <c r="AW59" s="21"/>
      <c r="AX59" s="21">
        <v>1500</v>
      </c>
      <c r="AY59" s="21"/>
      <c r="AZ59" s="21">
        <v>5310</v>
      </c>
      <c r="BA59" s="21"/>
      <c r="BB59" s="21"/>
      <c r="BC59" s="21"/>
      <c r="BD59" s="16">
        <f t="shared" si="1"/>
        <v>90000</v>
      </c>
      <c r="BE59" s="16">
        <f t="shared" si="1"/>
        <v>10432</v>
      </c>
      <c r="BF59" s="16">
        <f t="shared" si="1"/>
        <v>10000</v>
      </c>
      <c r="BG59" s="16">
        <f t="shared" si="1"/>
        <v>0</v>
      </c>
      <c r="BH59" s="16">
        <v>10000</v>
      </c>
      <c r="BI59" s="16">
        <v>8000</v>
      </c>
      <c r="BJ59" s="16">
        <v>5000</v>
      </c>
      <c r="BK59" s="16">
        <v>12000</v>
      </c>
      <c r="BL59" s="7"/>
    </row>
    <row r="60" spans="2:64" hidden="1" x14ac:dyDescent="0.25">
      <c r="B60" s="14">
        <f>SUBTOTAL(3,$C$8:C60)</f>
        <v>3</v>
      </c>
      <c r="C60" s="15" t="s">
        <v>64</v>
      </c>
      <c r="D60" s="15" t="s">
        <v>107</v>
      </c>
      <c r="E60" s="15" t="s">
        <v>85</v>
      </c>
      <c r="F60" s="15" t="s">
        <v>117</v>
      </c>
      <c r="G60" s="15"/>
      <c r="H60" s="21">
        <v>7400</v>
      </c>
      <c r="I60" s="21">
        <v>10671</v>
      </c>
      <c r="J60" s="21"/>
      <c r="K60" s="21"/>
      <c r="L60" s="21">
        <v>7400</v>
      </c>
      <c r="M60" s="21"/>
      <c r="N60" s="21"/>
      <c r="O60" s="21"/>
      <c r="P60" s="21">
        <v>5880</v>
      </c>
      <c r="Q60" s="21">
        <v>10087</v>
      </c>
      <c r="R60" s="21"/>
      <c r="S60" s="21"/>
      <c r="T60" s="21">
        <v>6720</v>
      </c>
      <c r="U60" s="21"/>
      <c r="V60" s="21"/>
      <c r="W60" s="21"/>
      <c r="X60" s="21">
        <v>7560</v>
      </c>
      <c r="Y60" s="21"/>
      <c r="Z60" s="21"/>
      <c r="AA60" s="21"/>
      <c r="AB60" s="21">
        <v>7560</v>
      </c>
      <c r="AC60" s="21"/>
      <c r="AD60" s="21"/>
      <c r="AE60" s="21"/>
      <c r="AF60" s="21">
        <v>7560</v>
      </c>
      <c r="AG60" s="21"/>
      <c r="AH60" s="21"/>
      <c r="AI60" s="21"/>
      <c r="AJ60" s="21">
        <v>7560</v>
      </c>
      <c r="AK60" s="21"/>
      <c r="AL60" s="21"/>
      <c r="AM60" s="21"/>
      <c r="AN60" s="21">
        <v>7560</v>
      </c>
      <c r="AO60" s="21"/>
      <c r="AP60" s="21"/>
      <c r="AQ60" s="21"/>
      <c r="AR60" s="21">
        <v>7140</v>
      </c>
      <c r="AS60" s="21"/>
      <c r="AT60" s="21"/>
      <c r="AU60" s="21"/>
      <c r="AV60" s="21">
        <v>6720</v>
      </c>
      <c r="AW60" s="21"/>
      <c r="AX60" s="21"/>
      <c r="AY60" s="21"/>
      <c r="AZ60" s="21">
        <v>4940</v>
      </c>
      <c r="BA60" s="21"/>
      <c r="BB60" s="21"/>
      <c r="BC60" s="21"/>
      <c r="BD60" s="16">
        <f t="shared" si="1"/>
        <v>84000</v>
      </c>
      <c r="BE60" s="16">
        <f t="shared" si="1"/>
        <v>20758</v>
      </c>
      <c r="BF60" s="16">
        <f t="shared" si="1"/>
        <v>0</v>
      </c>
      <c r="BG60" s="16">
        <f t="shared" si="1"/>
        <v>0</v>
      </c>
      <c r="BH60" s="16">
        <v>7000</v>
      </c>
      <c r="BI60" s="16">
        <v>5000</v>
      </c>
      <c r="BJ60" s="16">
        <v>3000</v>
      </c>
      <c r="BK60" s="16"/>
      <c r="BL60" s="7"/>
    </row>
    <row r="61" spans="2:64" hidden="1" x14ac:dyDescent="0.25">
      <c r="B61" s="14">
        <f>SUBTOTAL(3,$C$8:C61)</f>
        <v>3</v>
      </c>
      <c r="C61" s="15" t="s">
        <v>64</v>
      </c>
      <c r="D61" s="15" t="s">
        <v>107</v>
      </c>
      <c r="E61" s="15" t="s">
        <v>86</v>
      </c>
      <c r="F61" s="15" t="s">
        <v>117</v>
      </c>
      <c r="G61" s="15"/>
      <c r="H61" s="21">
        <v>3700</v>
      </c>
      <c r="I61" s="21">
        <v>2957</v>
      </c>
      <c r="J61" s="21"/>
      <c r="K61" s="21"/>
      <c r="L61" s="21">
        <v>3700</v>
      </c>
      <c r="M61" s="21">
        <v>3676</v>
      </c>
      <c r="N61" s="21"/>
      <c r="O61" s="21"/>
      <c r="P61" s="21">
        <v>2940</v>
      </c>
      <c r="Q61" s="21">
        <v>2849</v>
      </c>
      <c r="R61" s="21"/>
      <c r="S61" s="21"/>
      <c r="T61" s="21">
        <v>3360</v>
      </c>
      <c r="U61" s="21"/>
      <c r="V61" s="21">
        <v>562</v>
      </c>
      <c r="W61" s="21"/>
      <c r="X61" s="21">
        <v>3780</v>
      </c>
      <c r="Y61" s="21"/>
      <c r="Z61" s="21"/>
      <c r="AA61" s="21"/>
      <c r="AB61" s="21">
        <v>3780</v>
      </c>
      <c r="AC61" s="21"/>
      <c r="AD61" s="21"/>
      <c r="AE61" s="21"/>
      <c r="AF61" s="21">
        <v>3780</v>
      </c>
      <c r="AG61" s="21"/>
      <c r="AH61" s="21"/>
      <c r="AI61" s="21"/>
      <c r="AJ61" s="21">
        <v>3780</v>
      </c>
      <c r="AK61" s="21"/>
      <c r="AL61" s="21"/>
      <c r="AM61" s="21"/>
      <c r="AN61" s="21">
        <v>3780</v>
      </c>
      <c r="AO61" s="21"/>
      <c r="AP61" s="21"/>
      <c r="AQ61" s="21"/>
      <c r="AR61" s="21">
        <v>3570</v>
      </c>
      <c r="AS61" s="21"/>
      <c r="AT61" s="21"/>
      <c r="AU61" s="21"/>
      <c r="AV61" s="21">
        <v>3360</v>
      </c>
      <c r="AW61" s="21"/>
      <c r="AX61" s="21"/>
      <c r="AY61" s="21"/>
      <c r="AZ61" s="21">
        <v>2470</v>
      </c>
      <c r="BA61" s="21"/>
      <c r="BB61" s="21"/>
      <c r="BC61" s="21"/>
      <c r="BD61" s="16">
        <f t="shared" si="1"/>
        <v>42000</v>
      </c>
      <c r="BE61" s="16">
        <f t="shared" si="1"/>
        <v>9482</v>
      </c>
      <c r="BF61" s="16">
        <f t="shared" si="1"/>
        <v>562</v>
      </c>
      <c r="BG61" s="16">
        <f t="shared" si="1"/>
        <v>0</v>
      </c>
      <c r="BH61" s="16">
        <v>10000</v>
      </c>
      <c r="BI61" s="16">
        <v>8000</v>
      </c>
      <c r="BJ61" s="16">
        <v>5000</v>
      </c>
      <c r="BK61" s="16"/>
      <c r="BL61" s="7"/>
    </row>
    <row r="62" spans="2:64" hidden="1" x14ac:dyDescent="0.25">
      <c r="B62" s="14">
        <f>SUBTOTAL(3,$C$8:C62)</f>
        <v>3</v>
      </c>
      <c r="C62" s="15" t="s">
        <v>65</v>
      </c>
      <c r="D62" s="15" t="s">
        <v>113</v>
      </c>
      <c r="E62" s="15" t="s">
        <v>87</v>
      </c>
      <c r="F62" s="15" t="s">
        <v>118</v>
      </c>
      <c r="G62" s="15"/>
      <c r="H62" s="21">
        <v>5280</v>
      </c>
      <c r="I62" s="21">
        <v>4463</v>
      </c>
      <c r="J62" s="21"/>
      <c r="K62" s="21"/>
      <c r="L62" s="21">
        <v>5280</v>
      </c>
      <c r="M62" s="21"/>
      <c r="N62" s="21"/>
      <c r="O62" s="21"/>
      <c r="P62" s="21">
        <v>4200</v>
      </c>
      <c r="Q62" s="21">
        <v>6278</v>
      </c>
      <c r="R62" s="21"/>
      <c r="S62" s="21"/>
      <c r="T62" s="21">
        <v>4800</v>
      </c>
      <c r="U62" s="21"/>
      <c r="V62" s="21">
        <v>224</v>
      </c>
      <c r="W62" s="21"/>
      <c r="X62" s="21">
        <v>5400</v>
      </c>
      <c r="Y62" s="21"/>
      <c r="Z62" s="21"/>
      <c r="AA62" s="21"/>
      <c r="AB62" s="21">
        <v>5400</v>
      </c>
      <c r="AC62" s="21"/>
      <c r="AD62" s="21"/>
      <c r="AE62" s="21"/>
      <c r="AF62" s="21">
        <v>5400</v>
      </c>
      <c r="AG62" s="21"/>
      <c r="AH62" s="21"/>
      <c r="AI62" s="21"/>
      <c r="AJ62" s="21">
        <v>5400</v>
      </c>
      <c r="AK62" s="21"/>
      <c r="AL62" s="21"/>
      <c r="AM62" s="21"/>
      <c r="AN62" s="21">
        <v>5400</v>
      </c>
      <c r="AO62" s="21"/>
      <c r="AP62" s="21"/>
      <c r="AQ62" s="21"/>
      <c r="AR62" s="21">
        <v>5100</v>
      </c>
      <c r="AS62" s="21"/>
      <c r="AT62" s="21"/>
      <c r="AU62" s="21"/>
      <c r="AV62" s="21">
        <v>4800</v>
      </c>
      <c r="AW62" s="21"/>
      <c r="AX62" s="21"/>
      <c r="AY62" s="21"/>
      <c r="AZ62" s="21">
        <v>3540</v>
      </c>
      <c r="BA62" s="21"/>
      <c r="BB62" s="21"/>
      <c r="BC62" s="21"/>
      <c r="BD62" s="16">
        <f t="shared" si="1"/>
        <v>60000</v>
      </c>
      <c r="BE62" s="16">
        <f t="shared" si="1"/>
        <v>10741</v>
      </c>
      <c r="BF62" s="16">
        <f t="shared" si="1"/>
        <v>224</v>
      </c>
      <c r="BG62" s="16">
        <f t="shared" si="1"/>
        <v>0</v>
      </c>
      <c r="BH62" s="16">
        <v>15000</v>
      </c>
      <c r="BI62" s="16">
        <v>10000</v>
      </c>
      <c r="BJ62" s="16">
        <v>7000</v>
      </c>
      <c r="BK62" s="16"/>
      <c r="BL62" s="7"/>
    </row>
    <row r="63" spans="2:64" x14ac:dyDescent="0.25">
      <c r="B63" s="14">
        <f>SUBTOTAL(3,$C$8:C63)</f>
        <v>4</v>
      </c>
      <c r="C63" s="15" t="s">
        <v>65</v>
      </c>
      <c r="D63" s="15" t="s">
        <v>108</v>
      </c>
      <c r="E63" s="15" t="s">
        <v>88</v>
      </c>
      <c r="F63" s="15" t="s">
        <v>118</v>
      </c>
      <c r="G63" s="15" t="s">
        <v>139</v>
      </c>
      <c r="H63" s="21">
        <v>3960</v>
      </c>
      <c r="I63" s="21">
        <v>3902</v>
      </c>
      <c r="J63" s="21"/>
      <c r="K63" s="21">
        <v>0</v>
      </c>
      <c r="L63" s="21">
        <v>3960</v>
      </c>
      <c r="M63" s="21">
        <v>6644</v>
      </c>
      <c r="N63" s="21"/>
      <c r="O63" s="21">
        <v>827</v>
      </c>
      <c r="P63" s="21">
        <v>3150</v>
      </c>
      <c r="Q63" s="21">
        <v>3528</v>
      </c>
      <c r="R63" s="21"/>
      <c r="S63" s="21">
        <v>364</v>
      </c>
      <c r="T63" s="21">
        <v>3600</v>
      </c>
      <c r="U63" s="21"/>
      <c r="V63" s="21">
        <v>1247</v>
      </c>
      <c r="W63" s="21"/>
      <c r="X63" s="21">
        <v>4050</v>
      </c>
      <c r="Y63" s="21"/>
      <c r="Z63" s="21">
        <v>1000</v>
      </c>
      <c r="AA63" s="21"/>
      <c r="AB63" s="21">
        <v>4050</v>
      </c>
      <c r="AC63" s="21"/>
      <c r="AD63" s="21">
        <v>1500</v>
      </c>
      <c r="AE63" s="21"/>
      <c r="AF63" s="21">
        <v>4050</v>
      </c>
      <c r="AG63" s="21"/>
      <c r="AH63" s="21">
        <v>1500</v>
      </c>
      <c r="AI63" s="21"/>
      <c r="AJ63" s="21">
        <v>4050</v>
      </c>
      <c r="AK63" s="21"/>
      <c r="AL63" s="21">
        <v>1500</v>
      </c>
      <c r="AM63" s="21"/>
      <c r="AN63" s="21">
        <v>4050</v>
      </c>
      <c r="AO63" s="21"/>
      <c r="AP63" s="21">
        <v>1500</v>
      </c>
      <c r="AQ63" s="21"/>
      <c r="AR63" s="21">
        <v>3830</v>
      </c>
      <c r="AS63" s="21"/>
      <c r="AT63" s="21">
        <v>1000</v>
      </c>
      <c r="AU63" s="21"/>
      <c r="AV63" s="21">
        <v>3600</v>
      </c>
      <c r="AW63" s="21"/>
      <c r="AX63" s="21">
        <v>1000</v>
      </c>
      <c r="AY63" s="21"/>
      <c r="AZ63" s="21">
        <v>2650</v>
      </c>
      <c r="BA63" s="21"/>
      <c r="BB63" s="21"/>
      <c r="BC63" s="21"/>
      <c r="BD63" s="16">
        <f t="shared" si="1"/>
        <v>45000</v>
      </c>
      <c r="BE63" s="16">
        <f t="shared" si="1"/>
        <v>14074</v>
      </c>
      <c r="BF63" s="16">
        <f t="shared" si="1"/>
        <v>10247</v>
      </c>
      <c r="BG63" s="16">
        <f t="shared" si="1"/>
        <v>1191</v>
      </c>
      <c r="BH63" s="16">
        <v>10000</v>
      </c>
      <c r="BI63" s="16">
        <v>5000</v>
      </c>
      <c r="BJ63" s="16">
        <v>3000</v>
      </c>
      <c r="BK63" s="16">
        <v>10000</v>
      </c>
      <c r="BL63" s="7"/>
    </row>
    <row r="64" spans="2:64" x14ac:dyDescent="0.25">
      <c r="B64" s="14">
        <f>SUBTOTAL(3,$C$8:C64)</f>
        <v>5</v>
      </c>
      <c r="C64" s="15" t="s">
        <v>65</v>
      </c>
      <c r="D64" s="15" t="s">
        <v>108</v>
      </c>
      <c r="E64" s="15" t="s">
        <v>89</v>
      </c>
      <c r="F64" s="15" t="s">
        <v>118</v>
      </c>
      <c r="G64" s="15" t="s">
        <v>139</v>
      </c>
      <c r="H64" s="21">
        <v>2120</v>
      </c>
      <c r="I64" s="21">
        <v>3101</v>
      </c>
      <c r="J64" s="21"/>
      <c r="K64" s="21">
        <v>0</v>
      </c>
      <c r="L64" s="21">
        <v>2120</v>
      </c>
      <c r="M64" s="21">
        <v>3046</v>
      </c>
      <c r="N64" s="21"/>
      <c r="O64" s="21">
        <v>178</v>
      </c>
      <c r="P64" s="21">
        <v>1680</v>
      </c>
      <c r="Q64" s="21">
        <v>3103</v>
      </c>
      <c r="R64" s="21"/>
      <c r="S64" s="21">
        <v>0</v>
      </c>
      <c r="T64" s="21">
        <v>1920</v>
      </c>
      <c r="U64" s="21"/>
      <c r="V64" s="21">
        <v>615</v>
      </c>
      <c r="W64" s="21"/>
      <c r="X64" s="21">
        <v>2160</v>
      </c>
      <c r="Y64" s="21"/>
      <c r="Z64" s="21"/>
      <c r="AA64" s="21"/>
      <c r="AB64" s="21">
        <v>2160</v>
      </c>
      <c r="AC64" s="21"/>
      <c r="AD64" s="21"/>
      <c r="AE64" s="21"/>
      <c r="AF64" s="21">
        <v>2160</v>
      </c>
      <c r="AG64" s="21"/>
      <c r="AH64" s="21"/>
      <c r="AI64" s="21"/>
      <c r="AJ64" s="21">
        <v>2160</v>
      </c>
      <c r="AK64" s="21"/>
      <c r="AL64" s="21"/>
      <c r="AM64" s="21"/>
      <c r="AN64" s="21">
        <v>2160</v>
      </c>
      <c r="AO64" s="21"/>
      <c r="AP64" s="21"/>
      <c r="AQ64" s="21"/>
      <c r="AR64" s="21">
        <v>2040</v>
      </c>
      <c r="AS64" s="21"/>
      <c r="AT64" s="21"/>
      <c r="AU64" s="21"/>
      <c r="AV64" s="21">
        <v>1920</v>
      </c>
      <c r="AW64" s="21"/>
      <c r="AX64" s="21"/>
      <c r="AY64" s="21"/>
      <c r="AZ64" s="21">
        <v>1400</v>
      </c>
      <c r="BA64" s="21"/>
      <c r="BB64" s="21"/>
      <c r="BC64" s="21"/>
      <c r="BD64" s="16">
        <f t="shared" si="1"/>
        <v>24000</v>
      </c>
      <c r="BE64" s="16">
        <f t="shared" si="1"/>
        <v>9250</v>
      </c>
      <c r="BF64" s="16">
        <f t="shared" si="1"/>
        <v>615</v>
      </c>
      <c r="BG64" s="16">
        <f t="shared" si="1"/>
        <v>178</v>
      </c>
      <c r="BH64" s="16">
        <v>10000</v>
      </c>
      <c r="BI64" s="16">
        <v>6000</v>
      </c>
      <c r="BJ64" s="16">
        <v>4000</v>
      </c>
      <c r="BK64" s="16">
        <v>0</v>
      </c>
      <c r="BL64" s="7"/>
    </row>
    <row r="65" spans="2:64" hidden="1" x14ac:dyDescent="0.25">
      <c r="B65" s="14">
        <f>SUBTOTAL(3,$C$8:C65)</f>
        <v>5</v>
      </c>
      <c r="C65" s="15" t="s">
        <v>65</v>
      </c>
      <c r="D65" s="15" t="s">
        <v>109</v>
      </c>
      <c r="E65" s="15" t="s">
        <v>90</v>
      </c>
      <c r="F65" s="15" t="s">
        <v>118</v>
      </c>
      <c r="G65" s="15"/>
      <c r="H65" s="21">
        <v>5550</v>
      </c>
      <c r="I65" s="21">
        <v>5810</v>
      </c>
      <c r="J65" s="21"/>
      <c r="K65" s="21">
        <v>643</v>
      </c>
      <c r="L65" s="21">
        <v>5550</v>
      </c>
      <c r="M65" s="21">
        <v>6266</v>
      </c>
      <c r="N65" s="21"/>
      <c r="O65" s="21">
        <v>300</v>
      </c>
      <c r="P65" s="21">
        <v>4410</v>
      </c>
      <c r="Q65" s="21">
        <v>2400</v>
      </c>
      <c r="R65" s="21"/>
      <c r="S65" s="21">
        <v>0</v>
      </c>
      <c r="T65" s="21">
        <v>5040</v>
      </c>
      <c r="U65" s="21"/>
      <c r="V65" s="21">
        <v>1143</v>
      </c>
      <c r="W65" s="21"/>
      <c r="X65" s="21">
        <v>5670</v>
      </c>
      <c r="Y65" s="21"/>
      <c r="Z65" s="21"/>
      <c r="AA65" s="21"/>
      <c r="AB65" s="21">
        <v>5670</v>
      </c>
      <c r="AC65" s="21"/>
      <c r="AD65" s="21"/>
      <c r="AE65" s="21"/>
      <c r="AF65" s="21">
        <v>5670</v>
      </c>
      <c r="AG65" s="21"/>
      <c r="AH65" s="21"/>
      <c r="AI65" s="21"/>
      <c r="AJ65" s="21">
        <v>5670</v>
      </c>
      <c r="AK65" s="21"/>
      <c r="AL65" s="21"/>
      <c r="AM65" s="21"/>
      <c r="AN65" s="21">
        <v>5670</v>
      </c>
      <c r="AO65" s="21"/>
      <c r="AP65" s="21"/>
      <c r="AQ65" s="21"/>
      <c r="AR65" s="21">
        <v>5360</v>
      </c>
      <c r="AS65" s="21"/>
      <c r="AT65" s="21"/>
      <c r="AU65" s="21"/>
      <c r="AV65" s="21">
        <v>5040</v>
      </c>
      <c r="AW65" s="21"/>
      <c r="AX65" s="21"/>
      <c r="AY65" s="21"/>
      <c r="AZ65" s="21">
        <v>3700</v>
      </c>
      <c r="BA65" s="21"/>
      <c r="BB65" s="21"/>
      <c r="BC65" s="21"/>
      <c r="BD65" s="16">
        <f t="shared" si="1"/>
        <v>63000</v>
      </c>
      <c r="BE65" s="16">
        <f t="shared" si="1"/>
        <v>14476</v>
      </c>
      <c r="BF65" s="16">
        <f t="shared" si="1"/>
        <v>1143</v>
      </c>
      <c r="BG65" s="16">
        <f t="shared" si="1"/>
        <v>943</v>
      </c>
      <c r="BH65" s="16">
        <v>20000</v>
      </c>
      <c r="BI65" s="16">
        <v>15000</v>
      </c>
      <c r="BJ65" s="16">
        <v>10000</v>
      </c>
      <c r="BK65" s="16"/>
      <c r="BL65" s="7"/>
    </row>
    <row r="66" spans="2:64" hidden="1" x14ac:dyDescent="0.25">
      <c r="B66" s="14">
        <f>SUBTOTAL(3,$C$8:C66)</f>
        <v>5</v>
      </c>
      <c r="C66" s="15" t="s">
        <v>65</v>
      </c>
      <c r="D66" s="15" t="s">
        <v>110</v>
      </c>
      <c r="E66" s="15" t="s">
        <v>91</v>
      </c>
      <c r="F66" s="15" t="s">
        <v>118</v>
      </c>
      <c r="G66" s="15"/>
      <c r="H66" s="21">
        <v>0</v>
      </c>
      <c r="I66" s="21"/>
      <c r="J66" s="21"/>
      <c r="K66" s="21"/>
      <c r="L66" s="21">
        <v>0</v>
      </c>
      <c r="M66" s="21"/>
      <c r="N66" s="21"/>
      <c r="O66" s="21"/>
      <c r="P66" s="21">
        <v>0</v>
      </c>
      <c r="Q66" s="21"/>
      <c r="R66" s="21"/>
      <c r="S66" s="21"/>
      <c r="T66" s="21">
        <v>3600</v>
      </c>
      <c r="U66" s="21"/>
      <c r="V66" s="21">
        <v>2194</v>
      </c>
      <c r="W66" s="21"/>
      <c r="X66" s="21">
        <v>3960</v>
      </c>
      <c r="Y66" s="21"/>
      <c r="Z66" s="21"/>
      <c r="AA66" s="21"/>
      <c r="AB66" s="21">
        <v>3960</v>
      </c>
      <c r="AC66" s="21"/>
      <c r="AD66" s="21"/>
      <c r="AE66" s="21"/>
      <c r="AF66" s="21">
        <v>4320</v>
      </c>
      <c r="AG66" s="21"/>
      <c r="AH66" s="21"/>
      <c r="AI66" s="21"/>
      <c r="AJ66" s="21">
        <v>4680</v>
      </c>
      <c r="AK66" s="21"/>
      <c r="AL66" s="21"/>
      <c r="AM66" s="21"/>
      <c r="AN66" s="21">
        <v>4680</v>
      </c>
      <c r="AO66" s="21"/>
      <c r="AP66" s="21"/>
      <c r="AQ66" s="21"/>
      <c r="AR66" s="21">
        <v>4320</v>
      </c>
      <c r="AS66" s="21"/>
      <c r="AT66" s="21"/>
      <c r="AU66" s="21"/>
      <c r="AV66" s="21">
        <v>3600</v>
      </c>
      <c r="AW66" s="21"/>
      <c r="AX66" s="21"/>
      <c r="AY66" s="21"/>
      <c r="AZ66" s="21">
        <v>2880</v>
      </c>
      <c r="BA66" s="21"/>
      <c r="BB66" s="21"/>
      <c r="BC66" s="21"/>
      <c r="BD66" s="16">
        <f t="shared" si="1"/>
        <v>36000</v>
      </c>
      <c r="BE66" s="16">
        <f t="shared" si="1"/>
        <v>0</v>
      </c>
      <c r="BF66" s="16">
        <f t="shared" si="1"/>
        <v>2194</v>
      </c>
      <c r="BG66" s="16">
        <f t="shared" si="1"/>
        <v>0</v>
      </c>
      <c r="BH66" s="16">
        <v>20000</v>
      </c>
      <c r="BI66" s="16">
        <v>15000</v>
      </c>
      <c r="BJ66" s="16">
        <v>10000</v>
      </c>
      <c r="BK66" s="16"/>
      <c r="BL66" s="7"/>
    </row>
    <row r="67" spans="2:64" hidden="1" x14ac:dyDescent="0.25">
      <c r="B67" s="14">
        <f>SUBTOTAL(3,$C$8:C67)</f>
        <v>5</v>
      </c>
      <c r="C67" s="15" t="s">
        <v>65</v>
      </c>
      <c r="D67" s="15" t="s">
        <v>110</v>
      </c>
      <c r="E67" s="15" t="s">
        <v>92</v>
      </c>
      <c r="F67" s="15" t="s">
        <v>118</v>
      </c>
      <c r="G67" s="15"/>
      <c r="H67" s="21">
        <v>1060</v>
      </c>
      <c r="I67" s="21">
        <v>2696</v>
      </c>
      <c r="J67" s="21"/>
      <c r="K67" s="21">
        <v>1807</v>
      </c>
      <c r="L67" s="21">
        <v>1060</v>
      </c>
      <c r="M67" s="21">
        <v>2170</v>
      </c>
      <c r="N67" s="21"/>
      <c r="O67" s="21">
        <v>383</v>
      </c>
      <c r="P67" s="21">
        <v>840</v>
      </c>
      <c r="Q67" s="21">
        <v>740</v>
      </c>
      <c r="R67" s="21"/>
      <c r="S67" s="21">
        <v>0</v>
      </c>
      <c r="T67" s="21">
        <v>960</v>
      </c>
      <c r="U67" s="21"/>
      <c r="V67" s="21">
        <v>0</v>
      </c>
      <c r="W67" s="21"/>
      <c r="X67" s="21">
        <v>1080</v>
      </c>
      <c r="Y67" s="21"/>
      <c r="Z67" s="21"/>
      <c r="AA67" s="21"/>
      <c r="AB67" s="21">
        <v>1080</v>
      </c>
      <c r="AC67" s="21"/>
      <c r="AD67" s="21"/>
      <c r="AE67" s="21"/>
      <c r="AF67" s="21">
        <v>1080</v>
      </c>
      <c r="AG67" s="21"/>
      <c r="AH67" s="21"/>
      <c r="AI67" s="21"/>
      <c r="AJ67" s="21">
        <v>1080</v>
      </c>
      <c r="AK67" s="21"/>
      <c r="AL67" s="21"/>
      <c r="AM67" s="21"/>
      <c r="AN67" s="21">
        <v>1080</v>
      </c>
      <c r="AO67" s="21"/>
      <c r="AP67" s="21"/>
      <c r="AQ67" s="21"/>
      <c r="AR67" s="21">
        <v>1020</v>
      </c>
      <c r="AS67" s="21"/>
      <c r="AT67" s="21"/>
      <c r="AU67" s="21"/>
      <c r="AV67" s="21">
        <v>960</v>
      </c>
      <c r="AW67" s="21"/>
      <c r="AX67" s="21"/>
      <c r="AY67" s="21"/>
      <c r="AZ67" s="21">
        <v>700</v>
      </c>
      <c r="BA67" s="21"/>
      <c r="BB67" s="21"/>
      <c r="BC67" s="21"/>
      <c r="BD67" s="16">
        <f t="shared" si="1"/>
        <v>12000</v>
      </c>
      <c r="BE67" s="16">
        <f t="shared" si="1"/>
        <v>5606</v>
      </c>
      <c r="BF67" s="16">
        <f t="shared" si="1"/>
        <v>0</v>
      </c>
      <c r="BG67" s="16">
        <f t="shared" si="1"/>
        <v>2190</v>
      </c>
      <c r="BH67" s="16">
        <v>10000</v>
      </c>
      <c r="BI67" s="16">
        <v>5000</v>
      </c>
      <c r="BJ67" s="16">
        <v>3000</v>
      </c>
      <c r="BK67" s="16"/>
      <c r="BL67" s="7"/>
    </row>
    <row r="68" spans="2:64" hidden="1" x14ac:dyDescent="0.25">
      <c r="B68" s="14">
        <f>SUBTOTAL(3,$C$8:C68)</f>
        <v>5</v>
      </c>
      <c r="C68" s="15" t="s">
        <v>65</v>
      </c>
      <c r="D68" s="15" t="s">
        <v>111</v>
      </c>
      <c r="E68" s="15" t="s">
        <v>93</v>
      </c>
      <c r="F68" s="15" t="s">
        <v>118</v>
      </c>
      <c r="G68" s="15"/>
      <c r="H68" s="21">
        <v>3960</v>
      </c>
      <c r="I68" s="21">
        <v>3779</v>
      </c>
      <c r="J68" s="21"/>
      <c r="K68" s="21">
        <v>529</v>
      </c>
      <c r="L68" s="21">
        <v>3960</v>
      </c>
      <c r="M68" s="21">
        <v>3153</v>
      </c>
      <c r="N68" s="21"/>
      <c r="O68" s="21">
        <v>190</v>
      </c>
      <c r="P68" s="21">
        <v>3150</v>
      </c>
      <c r="Q68" s="21">
        <v>3270</v>
      </c>
      <c r="R68" s="21"/>
      <c r="S68" s="21">
        <v>831</v>
      </c>
      <c r="T68" s="21">
        <v>3600</v>
      </c>
      <c r="U68" s="21"/>
      <c r="V68" s="21">
        <v>517</v>
      </c>
      <c r="W68" s="21"/>
      <c r="X68" s="21">
        <v>4050</v>
      </c>
      <c r="Y68" s="21"/>
      <c r="Z68" s="21"/>
      <c r="AA68" s="21"/>
      <c r="AB68" s="21">
        <v>4050</v>
      </c>
      <c r="AC68" s="21"/>
      <c r="AD68" s="21"/>
      <c r="AE68" s="21"/>
      <c r="AF68" s="21">
        <v>4050</v>
      </c>
      <c r="AG68" s="21"/>
      <c r="AH68" s="21"/>
      <c r="AI68" s="21"/>
      <c r="AJ68" s="21">
        <v>4050</v>
      </c>
      <c r="AK68" s="21"/>
      <c r="AL68" s="21"/>
      <c r="AM68" s="21"/>
      <c r="AN68" s="21">
        <v>4050</v>
      </c>
      <c r="AO68" s="21"/>
      <c r="AP68" s="21"/>
      <c r="AQ68" s="21"/>
      <c r="AR68" s="21">
        <v>3830</v>
      </c>
      <c r="AS68" s="21"/>
      <c r="AT68" s="21"/>
      <c r="AU68" s="21"/>
      <c r="AV68" s="21">
        <v>3600</v>
      </c>
      <c r="AW68" s="21"/>
      <c r="AX68" s="21"/>
      <c r="AY68" s="21"/>
      <c r="AZ68" s="21">
        <v>2650</v>
      </c>
      <c r="BA68" s="21"/>
      <c r="BB68" s="21"/>
      <c r="BC68" s="21"/>
      <c r="BD68" s="16">
        <f t="shared" si="1"/>
        <v>45000</v>
      </c>
      <c r="BE68" s="16">
        <f t="shared" si="1"/>
        <v>10202</v>
      </c>
      <c r="BF68" s="16">
        <f t="shared" si="1"/>
        <v>517</v>
      </c>
      <c r="BG68" s="16">
        <f t="shared" si="1"/>
        <v>1550</v>
      </c>
      <c r="BH68" s="16">
        <v>15000</v>
      </c>
      <c r="BI68" s="16">
        <v>10000</v>
      </c>
      <c r="BJ68" s="16">
        <v>7000</v>
      </c>
      <c r="BK68" s="16"/>
      <c r="BL68" s="7"/>
    </row>
    <row r="69" spans="2:64" hidden="1" x14ac:dyDescent="0.25">
      <c r="B69" s="14">
        <f>SUBTOTAL(3,$C$8:C69)</f>
        <v>5</v>
      </c>
      <c r="C69" s="15" t="s">
        <v>65</v>
      </c>
      <c r="D69" s="15" t="s">
        <v>111</v>
      </c>
      <c r="E69" s="15" t="s">
        <v>94</v>
      </c>
      <c r="F69" s="15" t="s">
        <v>118</v>
      </c>
      <c r="G69" s="15"/>
      <c r="H69" s="21">
        <v>0</v>
      </c>
      <c r="I69" s="21">
        <v>911</v>
      </c>
      <c r="J69" s="21"/>
      <c r="K69" s="21"/>
      <c r="L69" s="21">
        <v>2880</v>
      </c>
      <c r="M69" s="21"/>
      <c r="N69" s="21"/>
      <c r="O69" s="21"/>
      <c r="P69" s="21">
        <v>2520</v>
      </c>
      <c r="Q69" s="21">
        <v>1163</v>
      </c>
      <c r="R69" s="21"/>
      <c r="S69" s="21"/>
      <c r="T69" s="21">
        <v>2880</v>
      </c>
      <c r="U69" s="21"/>
      <c r="V69" s="21">
        <v>916</v>
      </c>
      <c r="W69" s="21"/>
      <c r="X69" s="21">
        <v>3240</v>
      </c>
      <c r="Y69" s="21"/>
      <c r="Z69" s="21"/>
      <c r="AA69" s="21"/>
      <c r="AB69" s="21">
        <v>3600</v>
      </c>
      <c r="AC69" s="21"/>
      <c r="AD69" s="21"/>
      <c r="AE69" s="21"/>
      <c r="AF69" s="21">
        <v>3960</v>
      </c>
      <c r="AG69" s="21"/>
      <c r="AH69" s="21"/>
      <c r="AI69" s="21"/>
      <c r="AJ69" s="21">
        <v>3960</v>
      </c>
      <c r="AK69" s="21"/>
      <c r="AL69" s="21"/>
      <c r="AM69" s="21"/>
      <c r="AN69" s="21">
        <v>3960</v>
      </c>
      <c r="AO69" s="21"/>
      <c r="AP69" s="21"/>
      <c r="AQ69" s="21"/>
      <c r="AR69" s="21">
        <v>3420</v>
      </c>
      <c r="AS69" s="21"/>
      <c r="AT69" s="21"/>
      <c r="AU69" s="21"/>
      <c r="AV69" s="21">
        <v>3240</v>
      </c>
      <c r="AW69" s="21"/>
      <c r="AX69" s="21"/>
      <c r="AY69" s="21"/>
      <c r="AZ69" s="21">
        <v>2340</v>
      </c>
      <c r="BA69" s="21"/>
      <c r="BB69" s="21"/>
      <c r="BC69" s="21"/>
      <c r="BD69" s="16">
        <f t="shared" si="1"/>
        <v>36000</v>
      </c>
      <c r="BE69" s="16">
        <f t="shared" si="1"/>
        <v>2074</v>
      </c>
      <c r="BF69" s="16">
        <f t="shared" si="1"/>
        <v>916</v>
      </c>
      <c r="BG69" s="16">
        <f t="shared" si="1"/>
        <v>0</v>
      </c>
      <c r="BH69" s="16">
        <v>20000</v>
      </c>
      <c r="BI69" s="16">
        <v>15000</v>
      </c>
      <c r="BJ69" s="16">
        <v>10000</v>
      </c>
      <c r="BK69" s="16"/>
      <c r="BL69" s="7"/>
    </row>
    <row r="70" spans="2:64" hidden="1" x14ac:dyDescent="0.25">
      <c r="B70" s="14">
        <f>SUBTOTAL(3,$C$8:C70)</f>
        <v>5</v>
      </c>
      <c r="C70" s="15" t="s">
        <v>66</v>
      </c>
      <c r="D70" s="15" t="s">
        <v>111</v>
      </c>
      <c r="E70" s="15" t="s">
        <v>95</v>
      </c>
      <c r="F70" s="15" t="s">
        <v>118</v>
      </c>
      <c r="G70" s="15"/>
      <c r="H70" s="21">
        <v>4230</v>
      </c>
      <c r="I70" s="21">
        <v>4055</v>
      </c>
      <c r="J70" s="21"/>
      <c r="K70" s="21">
        <v>772</v>
      </c>
      <c r="L70" s="21">
        <v>4230</v>
      </c>
      <c r="M70" s="21">
        <v>3827</v>
      </c>
      <c r="N70" s="21"/>
      <c r="O70" s="21">
        <v>145</v>
      </c>
      <c r="P70" s="21">
        <v>3360</v>
      </c>
      <c r="Q70" s="21">
        <v>3389</v>
      </c>
      <c r="R70" s="21"/>
      <c r="S70" s="21">
        <v>562</v>
      </c>
      <c r="T70" s="21">
        <v>3840</v>
      </c>
      <c r="U70" s="21"/>
      <c r="V70" s="21">
        <v>752</v>
      </c>
      <c r="W70" s="21"/>
      <c r="X70" s="21">
        <v>4320</v>
      </c>
      <c r="Y70" s="21"/>
      <c r="Z70" s="21"/>
      <c r="AA70" s="21"/>
      <c r="AB70" s="21">
        <v>4320</v>
      </c>
      <c r="AC70" s="21"/>
      <c r="AD70" s="21"/>
      <c r="AE70" s="21"/>
      <c r="AF70" s="21">
        <v>4320</v>
      </c>
      <c r="AG70" s="21"/>
      <c r="AH70" s="21"/>
      <c r="AI70" s="21"/>
      <c r="AJ70" s="21">
        <v>4320</v>
      </c>
      <c r="AK70" s="21"/>
      <c r="AL70" s="21"/>
      <c r="AM70" s="21"/>
      <c r="AN70" s="21">
        <v>4320</v>
      </c>
      <c r="AO70" s="21"/>
      <c r="AP70" s="21"/>
      <c r="AQ70" s="21"/>
      <c r="AR70" s="21">
        <v>4080</v>
      </c>
      <c r="AS70" s="21"/>
      <c r="AT70" s="21"/>
      <c r="AU70" s="21"/>
      <c r="AV70" s="21">
        <v>3840</v>
      </c>
      <c r="AW70" s="21"/>
      <c r="AX70" s="21"/>
      <c r="AY70" s="21"/>
      <c r="AZ70" s="21">
        <v>2820</v>
      </c>
      <c r="BA70" s="21"/>
      <c r="BB70" s="21"/>
      <c r="BC70" s="21"/>
      <c r="BD70" s="16">
        <f t="shared" si="1"/>
        <v>48000</v>
      </c>
      <c r="BE70" s="16">
        <f t="shared" si="1"/>
        <v>11271</v>
      </c>
      <c r="BF70" s="16">
        <f t="shared" si="1"/>
        <v>752</v>
      </c>
      <c r="BG70" s="16">
        <f t="shared" si="1"/>
        <v>1479</v>
      </c>
      <c r="BH70" s="16">
        <v>15000</v>
      </c>
      <c r="BI70" s="16">
        <v>10000</v>
      </c>
      <c r="BJ70" s="16">
        <v>7000</v>
      </c>
      <c r="BK70" s="16"/>
      <c r="BL70" s="7"/>
    </row>
    <row r="71" spans="2:64" hidden="1" x14ac:dyDescent="0.25">
      <c r="B71" s="14">
        <f>SUBTOTAL(3,$C$8:C71)</f>
        <v>5</v>
      </c>
      <c r="C71" s="15" t="s">
        <v>66</v>
      </c>
      <c r="D71" s="15" t="s">
        <v>105</v>
      </c>
      <c r="E71" s="15" t="s">
        <v>96</v>
      </c>
      <c r="F71" s="15" t="s">
        <v>118</v>
      </c>
      <c r="G71" s="15"/>
      <c r="H71" s="21">
        <v>4070</v>
      </c>
      <c r="I71" s="21">
        <v>5297</v>
      </c>
      <c r="J71" s="21"/>
      <c r="K71" s="21">
        <v>402</v>
      </c>
      <c r="L71" s="21">
        <v>4070</v>
      </c>
      <c r="M71" s="21">
        <v>7472</v>
      </c>
      <c r="N71" s="21"/>
      <c r="O71" s="21">
        <v>279</v>
      </c>
      <c r="P71" s="21">
        <v>3240</v>
      </c>
      <c r="Q71" s="21">
        <v>5637</v>
      </c>
      <c r="R71" s="21"/>
      <c r="S71" s="21">
        <v>498</v>
      </c>
      <c r="T71" s="21">
        <v>3700</v>
      </c>
      <c r="U71" s="21"/>
      <c r="V71" s="21">
        <v>1104</v>
      </c>
      <c r="W71" s="21"/>
      <c r="X71" s="21">
        <v>4160</v>
      </c>
      <c r="Y71" s="21"/>
      <c r="Z71" s="21"/>
      <c r="AA71" s="21"/>
      <c r="AB71" s="21">
        <v>4160</v>
      </c>
      <c r="AC71" s="21"/>
      <c r="AD71" s="21"/>
      <c r="AE71" s="21"/>
      <c r="AF71" s="21">
        <v>4160</v>
      </c>
      <c r="AG71" s="21"/>
      <c r="AH71" s="21"/>
      <c r="AI71" s="21"/>
      <c r="AJ71" s="21">
        <v>4160</v>
      </c>
      <c r="AK71" s="21"/>
      <c r="AL71" s="21"/>
      <c r="AM71" s="21"/>
      <c r="AN71" s="21">
        <v>4160</v>
      </c>
      <c r="AO71" s="21"/>
      <c r="AP71" s="21"/>
      <c r="AQ71" s="21"/>
      <c r="AR71" s="21">
        <v>3930</v>
      </c>
      <c r="AS71" s="21"/>
      <c r="AT71" s="21"/>
      <c r="AU71" s="21"/>
      <c r="AV71" s="21">
        <v>3700</v>
      </c>
      <c r="AW71" s="21"/>
      <c r="AX71" s="21"/>
      <c r="AY71" s="21"/>
      <c r="AZ71" s="21">
        <v>2690</v>
      </c>
      <c r="BA71" s="21"/>
      <c r="BB71" s="21"/>
      <c r="BC71" s="21"/>
      <c r="BD71" s="16">
        <f t="shared" si="1"/>
        <v>46200</v>
      </c>
      <c r="BE71" s="16">
        <f t="shared" si="1"/>
        <v>18406</v>
      </c>
      <c r="BF71" s="16">
        <f t="shared" si="1"/>
        <v>1104</v>
      </c>
      <c r="BG71" s="16">
        <f t="shared" si="1"/>
        <v>1179</v>
      </c>
      <c r="BH71" s="16">
        <v>15000</v>
      </c>
      <c r="BI71" s="16">
        <v>10000</v>
      </c>
      <c r="BJ71" s="16">
        <v>7000</v>
      </c>
      <c r="BK71" s="16"/>
      <c r="BL71" s="7"/>
    </row>
    <row r="72" spans="2:64" hidden="1" x14ac:dyDescent="0.25">
      <c r="B72" s="14">
        <f>SUBTOTAL(3,$C$8:C72)</f>
        <v>5</v>
      </c>
      <c r="C72" s="15" t="s">
        <v>66</v>
      </c>
      <c r="D72" s="15" t="s">
        <v>114</v>
      </c>
      <c r="E72" s="15" t="s">
        <v>97</v>
      </c>
      <c r="F72" s="15" t="s">
        <v>118</v>
      </c>
      <c r="G72" s="15"/>
      <c r="H72" s="21">
        <v>0</v>
      </c>
      <c r="I72" s="21"/>
      <c r="J72" s="21"/>
      <c r="K72" s="21"/>
      <c r="L72" s="21">
        <v>2880</v>
      </c>
      <c r="M72" s="21"/>
      <c r="N72" s="21"/>
      <c r="O72" s="21"/>
      <c r="P72" s="21">
        <v>2520</v>
      </c>
      <c r="Q72" s="21"/>
      <c r="R72" s="21"/>
      <c r="S72" s="21"/>
      <c r="T72" s="21">
        <v>2880</v>
      </c>
      <c r="U72" s="21"/>
      <c r="V72" s="21">
        <v>1113</v>
      </c>
      <c r="W72" s="21"/>
      <c r="X72" s="21">
        <v>3240</v>
      </c>
      <c r="Y72" s="21"/>
      <c r="Z72" s="21"/>
      <c r="AA72" s="21"/>
      <c r="AB72" s="21">
        <v>3600</v>
      </c>
      <c r="AC72" s="21"/>
      <c r="AD72" s="21"/>
      <c r="AE72" s="21"/>
      <c r="AF72" s="21">
        <v>3960</v>
      </c>
      <c r="AG72" s="21"/>
      <c r="AH72" s="21"/>
      <c r="AI72" s="21"/>
      <c r="AJ72" s="21">
        <v>3960</v>
      </c>
      <c r="AK72" s="21"/>
      <c r="AL72" s="21"/>
      <c r="AM72" s="21"/>
      <c r="AN72" s="21">
        <v>3960</v>
      </c>
      <c r="AO72" s="21"/>
      <c r="AP72" s="21"/>
      <c r="AQ72" s="21"/>
      <c r="AR72" s="21">
        <v>3420</v>
      </c>
      <c r="AS72" s="21"/>
      <c r="AT72" s="21"/>
      <c r="AU72" s="21"/>
      <c r="AV72" s="21">
        <v>3240</v>
      </c>
      <c r="AW72" s="21"/>
      <c r="AX72" s="21"/>
      <c r="AY72" s="21"/>
      <c r="AZ72" s="21">
        <v>2340</v>
      </c>
      <c r="BA72" s="21"/>
      <c r="BB72" s="21"/>
      <c r="BC72" s="21"/>
      <c r="BD72" s="16">
        <f t="shared" si="1"/>
        <v>36000</v>
      </c>
      <c r="BE72" s="16">
        <f t="shared" si="1"/>
        <v>0</v>
      </c>
      <c r="BF72" s="16">
        <f t="shared" si="1"/>
        <v>1113</v>
      </c>
      <c r="BG72" s="16">
        <f t="shared" si="1"/>
        <v>0</v>
      </c>
      <c r="BH72" s="16">
        <v>10000</v>
      </c>
      <c r="BI72" s="16">
        <v>5000</v>
      </c>
      <c r="BJ72" s="16">
        <v>3000</v>
      </c>
      <c r="BK72" s="16"/>
      <c r="BL72" s="7"/>
    </row>
    <row r="73" spans="2:64" hidden="1" x14ac:dyDescent="0.25">
      <c r="B73" s="14">
        <f>SUBTOTAL(3,$C$8:C73)</f>
        <v>5</v>
      </c>
      <c r="C73" s="15" t="s">
        <v>66</v>
      </c>
      <c r="D73" s="15" t="s">
        <v>114</v>
      </c>
      <c r="E73" s="15" t="s">
        <v>98</v>
      </c>
      <c r="F73" s="15" t="s">
        <v>118</v>
      </c>
      <c r="G73" s="15"/>
      <c r="H73" s="21">
        <v>11580</v>
      </c>
      <c r="I73" s="21">
        <v>5479</v>
      </c>
      <c r="J73" s="21"/>
      <c r="K73" s="21">
        <v>0</v>
      </c>
      <c r="L73" s="21">
        <v>11580</v>
      </c>
      <c r="M73" s="21">
        <v>7004</v>
      </c>
      <c r="N73" s="21"/>
      <c r="O73" s="21">
        <v>1211</v>
      </c>
      <c r="P73" s="21">
        <v>9210</v>
      </c>
      <c r="Q73" s="21">
        <v>3472</v>
      </c>
      <c r="R73" s="21"/>
      <c r="S73" s="21">
        <v>452</v>
      </c>
      <c r="T73" s="21">
        <v>10520</v>
      </c>
      <c r="U73" s="21"/>
      <c r="V73" s="21">
        <v>749</v>
      </c>
      <c r="W73" s="21"/>
      <c r="X73" s="21">
        <v>11840</v>
      </c>
      <c r="Y73" s="21"/>
      <c r="Z73" s="21"/>
      <c r="AA73" s="21"/>
      <c r="AB73" s="21">
        <v>11840</v>
      </c>
      <c r="AC73" s="21"/>
      <c r="AD73" s="21"/>
      <c r="AE73" s="21"/>
      <c r="AF73" s="21">
        <v>11840</v>
      </c>
      <c r="AG73" s="21"/>
      <c r="AH73" s="21"/>
      <c r="AI73" s="21"/>
      <c r="AJ73" s="21">
        <v>11840</v>
      </c>
      <c r="AK73" s="21"/>
      <c r="AL73" s="21"/>
      <c r="AM73" s="21"/>
      <c r="AN73" s="21">
        <v>11840</v>
      </c>
      <c r="AO73" s="21"/>
      <c r="AP73" s="21"/>
      <c r="AQ73" s="21"/>
      <c r="AR73" s="21">
        <v>11180</v>
      </c>
      <c r="AS73" s="21"/>
      <c r="AT73" s="21"/>
      <c r="AU73" s="21"/>
      <c r="AV73" s="21">
        <v>10520</v>
      </c>
      <c r="AW73" s="21"/>
      <c r="AX73" s="21"/>
      <c r="AY73" s="21"/>
      <c r="AZ73" s="21">
        <v>7710</v>
      </c>
      <c r="BA73" s="21"/>
      <c r="BB73" s="21"/>
      <c r="BC73" s="21"/>
      <c r="BD73" s="16">
        <f t="shared" si="1"/>
        <v>131500</v>
      </c>
      <c r="BE73" s="16">
        <f t="shared" si="1"/>
        <v>15955</v>
      </c>
      <c r="BF73" s="16">
        <f t="shared" si="1"/>
        <v>749</v>
      </c>
      <c r="BG73" s="16">
        <f t="shared" si="1"/>
        <v>1663</v>
      </c>
      <c r="BH73" s="16">
        <v>20000</v>
      </c>
      <c r="BI73" s="16">
        <v>15000</v>
      </c>
      <c r="BJ73" s="16">
        <v>10000</v>
      </c>
      <c r="BK73" s="16"/>
      <c r="BL73" s="7"/>
    </row>
    <row r="74" spans="2:64" hidden="1" x14ac:dyDescent="0.25">
      <c r="B74" s="14">
        <f>SUBTOTAL(3,$C$8:C74)</f>
        <v>5</v>
      </c>
      <c r="C74" s="15" t="s">
        <v>66</v>
      </c>
      <c r="D74" s="15" t="s">
        <v>114</v>
      </c>
      <c r="E74" s="15" t="s">
        <v>99</v>
      </c>
      <c r="F74" s="15" t="s">
        <v>118</v>
      </c>
      <c r="G74" s="15"/>
      <c r="H74" s="21">
        <v>0</v>
      </c>
      <c r="I74" s="21"/>
      <c r="J74" s="21"/>
      <c r="K74" s="21"/>
      <c r="L74" s="21">
        <v>0</v>
      </c>
      <c r="M74" s="21"/>
      <c r="N74" s="21"/>
      <c r="O74" s="21"/>
      <c r="P74" s="21">
        <v>2880</v>
      </c>
      <c r="Q74" s="21"/>
      <c r="R74" s="21"/>
      <c r="S74" s="21"/>
      <c r="T74" s="21">
        <v>3240</v>
      </c>
      <c r="U74" s="21"/>
      <c r="V74" s="21">
        <v>1645</v>
      </c>
      <c r="W74" s="21"/>
      <c r="X74" s="21">
        <v>3600</v>
      </c>
      <c r="Y74" s="21"/>
      <c r="Z74" s="21"/>
      <c r="AA74" s="21"/>
      <c r="AB74" s="21">
        <v>3960</v>
      </c>
      <c r="AC74" s="21"/>
      <c r="AD74" s="21"/>
      <c r="AE74" s="21"/>
      <c r="AF74" s="21">
        <v>4320</v>
      </c>
      <c r="AG74" s="21"/>
      <c r="AH74" s="21"/>
      <c r="AI74" s="21"/>
      <c r="AJ74" s="21">
        <v>4680</v>
      </c>
      <c r="AK74" s="21"/>
      <c r="AL74" s="21"/>
      <c r="AM74" s="21"/>
      <c r="AN74" s="21">
        <v>3600</v>
      </c>
      <c r="AO74" s="21"/>
      <c r="AP74" s="21"/>
      <c r="AQ74" s="21"/>
      <c r="AR74" s="21">
        <v>3600</v>
      </c>
      <c r="AS74" s="21"/>
      <c r="AT74" s="21"/>
      <c r="AU74" s="21"/>
      <c r="AV74" s="21">
        <v>3240</v>
      </c>
      <c r="AW74" s="21"/>
      <c r="AX74" s="21"/>
      <c r="AY74" s="21"/>
      <c r="AZ74" s="21">
        <v>2880</v>
      </c>
      <c r="BA74" s="21"/>
      <c r="BB74" s="21"/>
      <c r="BC74" s="21"/>
      <c r="BD74" s="16">
        <f t="shared" ref="BD74:BG78" si="2">H74+L74+P74+T74+X74+AB74+AF74+AJ74+AN74+AR74+AV74+AZ74</f>
        <v>36000</v>
      </c>
      <c r="BE74" s="16">
        <f t="shared" si="2"/>
        <v>0</v>
      </c>
      <c r="BF74" s="16">
        <f t="shared" si="2"/>
        <v>1645</v>
      </c>
      <c r="BG74" s="16">
        <f t="shared" si="2"/>
        <v>0</v>
      </c>
      <c r="BH74" s="16">
        <v>15000</v>
      </c>
      <c r="BI74" s="16">
        <v>10000</v>
      </c>
      <c r="BJ74" s="16">
        <v>7000</v>
      </c>
      <c r="BK74" s="16"/>
      <c r="BL74" s="7"/>
    </row>
    <row r="75" spans="2:64" hidden="1" x14ac:dyDescent="0.25">
      <c r="B75" s="14">
        <f>SUBTOTAL(3,$C$8:C75)</f>
        <v>5</v>
      </c>
      <c r="C75" s="15" t="s">
        <v>66</v>
      </c>
      <c r="D75" s="15" t="s">
        <v>114</v>
      </c>
      <c r="E75" s="15" t="s">
        <v>120</v>
      </c>
      <c r="F75" s="15" t="s">
        <v>118</v>
      </c>
      <c r="G75" s="15"/>
      <c r="H75" s="21">
        <v>0</v>
      </c>
      <c r="I75" s="21"/>
      <c r="J75" s="21"/>
      <c r="K75" s="21"/>
      <c r="L75" s="21">
        <v>0</v>
      </c>
      <c r="M75" s="21"/>
      <c r="N75" s="21"/>
      <c r="O75" s="21"/>
      <c r="P75" s="21">
        <v>0</v>
      </c>
      <c r="Q75" s="21"/>
      <c r="R75" s="21"/>
      <c r="S75" s="21"/>
      <c r="T75" s="21">
        <v>4000</v>
      </c>
      <c r="U75" s="21"/>
      <c r="V75" s="21"/>
      <c r="W75" s="21"/>
      <c r="X75" s="21">
        <v>4400</v>
      </c>
      <c r="Y75" s="21"/>
      <c r="Z75" s="21"/>
      <c r="AA75" s="21"/>
      <c r="AB75" s="21">
        <v>4400</v>
      </c>
      <c r="AC75" s="21"/>
      <c r="AD75" s="21"/>
      <c r="AE75" s="21"/>
      <c r="AF75" s="21">
        <v>4800</v>
      </c>
      <c r="AG75" s="21"/>
      <c r="AH75" s="21"/>
      <c r="AI75" s="21"/>
      <c r="AJ75" s="21">
        <v>5200</v>
      </c>
      <c r="AK75" s="21"/>
      <c r="AL75" s="21"/>
      <c r="AM75" s="21"/>
      <c r="AN75" s="21">
        <v>5200</v>
      </c>
      <c r="AO75" s="21"/>
      <c r="AP75" s="21"/>
      <c r="AQ75" s="21"/>
      <c r="AR75" s="21">
        <v>4800</v>
      </c>
      <c r="AS75" s="21"/>
      <c r="AT75" s="21"/>
      <c r="AU75" s="21"/>
      <c r="AV75" s="21">
        <v>4000</v>
      </c>
      <c r="AW75" s="21"/>
      <c r="AX75" s="21"/>
      <c r="AY75" s="21"/>
      <c r="AZ75" s="21">
        <v>3200</v>
      </c>
      <c r="BA75" s="21"/>
      <c r="BB75" s="21"/>
      <c r="BC75" s="21"/>
      <c r="BD75" s="16">
        <f t="shared" si="2"/>
        <v>40000</v>
      </c>
      <c r="BE75" s="16">
        <f t="shared" si="2"/>
        <v>0</v>
      </c>
      <c r="BF75" s="16">
        <f t="shared" si="2"/>
        <v>0</v>
      </c>
      <c r="BG75" s="16">
        <f t="shared" si="2"/>
        <v>0</v>
      </c>
      <c r="BH75" s="16">
        <v>15000</v>
      </c>
      <c r="BI75" s="16">
        <v>10000</v>
      </c>
      <c r="BJ75" s="16">
        <v>7000</v>
      </c>
      <c r="BK75" s="16"/>
      <c r="BL75" s="7"/>
    </row>
    <row r="76" spans="2:64" hidden="1" x14ac:dyDescent="0.25">
      <c r="B76" s="14">
        <f>SUBTOTAL(3,$C$8:C76)</f>
        <v>5</v>
      </c>
      <c r="C76" s="15" t="s">
        <v>66</v>
      </c>
      <c r="D76" s="15" t="s">
        <v>115</v>
      </c>
      <c r="E76" s="15" t="s">
        <v>100</v>
      </c>
      <c r="F76" s="15" t="s">
        <v>118</v>
      </c>
      <c r="G76" s="15"/>
      <c r="H76" s="21">
        <v>0</v>
      </c>
      <c r="I76" s="21"/>
      <c r="J76" s="21"/>
      <c r="K76" s="21"/>
      <c r="L76" s="21">
        <v>2400</v>
      </c>
      <c r="M76" s="21"/>
      <c r="N76" s="21"/>
      <c r="O76" s="21"/>
      <c r="P76" s="21">
        <v>2100</v>
      </c>
      <c r="Q76" s="21"/>
      <c r="R76" s="21"/>
      <c r="S76" s="21"/>
      <c r="T76" s="21">
        <v>2400</v>
      </c>
      <c r="U76" s="21"/>
      <c r="V76" s="21"/>
      <c r="W76" s="21"/>
      <c r="X76" s="21">
        <v>2700</v>
      </c>
      <c r="Y76" s="21"/>
      <c r="Z76" s="21"/>
      <c r="AA76" s="21"/>
      <c r="AB76" s="21">
        <v>3000</v>
      </c>
      <c r="AC76" s="21"/>
      <c r="AD76" s="21"/>
      <c r="AE76" s="21"/>
      <c r="AF76" s="21">
        <v>3300</v>
      </c>
      <c r="AG76" s="21"/>
      <c r="AH76" s="21"/>
      <c r="AI76" s="21"/>
      <c r="AJ76" s="21">
        <v>3300</v>
      </c>
      <c r="AK76" s="21"/>
      <c r="AL76" s="21"/>
      <c r="AM76" s="21"/>
      <c r="AN76" s="21">
        <v>3300</v>
      </c>
      <c r="AO76" s="21"/>
      <c r="AP76" s="21"/>
      <c r="AQ76" s="21"/>
      <c r="AR76" s="21">
        <v>2850</v>
      </c>
      <c r="AS76" s="21"/>
      <c r="AT76" s="21"/>
      <c r="AU76" s="21"/>
      <c r="AV76" s="21">
        <v>2700</v>
      </c>
      <c r="AW76" s="21"/>
      <c r="AX76" s="21"/>
      <c r="AY76" s="21"/>
      <c r="AZ76" s="21">
        <v>1950</v>
      </c>
      <c r="BA76" s="21"/>
      <c r="BB76" s="21"/>
      <c r="BC76" s="21"/>
      <c r="BD76" s="16">
        <f t="shared" si="2"/>
        <v>30000</v>
      </c>
      <c r="BE76" s="16">
        <f t="shared" si="2"/>
        <v>0</v>
      </c>
      <c r="BF76" s="16">
        <f t="shared" si="2"/>
        <v>0</v>
      </c>
      <c r="BG76" s="16">
        <f t="shared" si="2"/>
        <v>0</v>
      </c>
      <c r="BH76" s="16">
        <v>15000</v>
      </c>
      <c r="BI76" s="16">
        <v>10000</v>
      </c>
      <c r="BJ76" s="16">
        <v>7000</v>
      </c>
      <c r="BK76" s="16"/>
      <c r="BL76" s="7"/>
    </row>
    <row r="77" spans="2:64" hidden="1" x14ac:dyDescent="0.25">
      <c r="B77" s="14">
        <f>SUBTOTAL(3,$C$8:C77)</f>
        <v>5</v>
      </c>
      <c r="C77" s="15" t="s">
        <v>66</v>
      </c>
      <c r="D77" s="15" t="s">
        <v>115</v>
      </c>
      <c r="E77" s="15" t="s">
        <v>121</v>
      </c>
      <c r="F77" s="15" t="s">
        <v>118</v>
      </c>
      <c r="G77" s="15"/>
      <c r="H77" s="21">
        <v>0</v>
      </c>
      <c r="I77" s="21"/>
      <c r="J77" s="21"/>
      <c r="K77" s="21"/>
      <c r="L77" s="21">
        <v>0</v>
      </c>
      <c r="M77" s="21"/>
      <c r="N77" s="21"/>
      <c r="O77" s="21"/>
      <c r="P77" s="21">
        <v>2400</v>
      </c>
      <c r="Q77" s="21"/>
      <c r="R77" s="21"/>
      <c r="S77" s="21"/>
      <c r="T77" s="21">
        <v>2700</v>
      </c>
      <c r="U77" s="21"/>
      <c r="V77" s="21"/>
      <c r="W77" s="21"/>
      <c r="X77" s="21">
        <v>3000</v>
      </c>
      <c r="Y77" s="21"/>
      <c r="Z77" s="21"/>
      <c r="AA77" s="21"/>
      <c r="AB77" s="21">
        <v>3300</v>
      </c>
      <c r="AC77" s="21"/>
      <c r="AD77" s="21"/>
      <c r="AE77" s="21"/>
      <c r="AF77" s="21">
        <v>3600</v>
      </c>
      <c r="AG77" s="21"/>
      <c r="AH77" s="21"/>
      <c r="AI77" s="21"/>
      <c r="AJ77" s="21">
        <v>3900</v>
      </c>
      <c r="AK77" s="21"/>
      <c r="AL77" s="21"/>
      <c r="AM77" s="21"/>
      <c r="AN77" s="21">
        <v>3000</v>
      </c>
      <c r="AO77" s="21"/>
      <c r="AP77" s="21"/>
      <c r="AQ77" s="21"/>
      <c r="AR77" s="21">
        <v>3000</v>
      </c>
      <c r="AS77" s="21"/>
      <c r="AT77" s="21"/>
      <c r="AU77" s="21"/>
      <c r="AV77" s="21">
        <v>2700</v>
      </c>
      <c r="AW77" s="21"/>
      <c r="AX77" s="21"/>
      <c r="AY77" s="21"/>
      <c r="AZ77" s="21">
        <v>2400</v>
      </c>
      <c r="BA77" s="21"/>
      <c r="BB77" s="21"/>
      <c r="BC77" s="21"/>
      <c r="BD77" s="16">
        <f t="shared" si="2"/>
        <v>30000</v>
      </c>
      <c r="BE77" s="16">
        <f t="shared" si="2"/>
        <v>0</v>
      </c>
      <c r="BF77" s="16">
        <f t="shared" si="2"/>
        <v>0</v>
      </c>
      <c r="BG77" s="16">
        <f t="shared" si="2"/>
        <v>0</v>
      </c>
      <c r="BH77" s="16">
        <v>15000</v>
      </c>
      <c r="BI77" s="16">
        <v>10000</v>
      </c>
      <c r="BJ77" s="16">
        <v>7000</v>
      </c>
      <c r="BK77" s="16"/>
      <c r="BL77" s="7"/>
    </row>
    <row r="78" spans="2:64" hidden="1" x14ac:dyDescent="0.25">
      <c r="B78" s="14">
        <f>SUBTOTAL(3,$C$8:C78)</f>
        <v>5</v>
      </c>
      <c r="C78" s="15" t="s">
        <v>66</v>
      </c>
      <c r="D78" s="15" t="s">
        <v>115</v>
      </c>
      <c r="E78" s="15" t="s">
        <v>101</v>
      </c>
      <c r="F78" s="15" t="s">
        <v>118</v>
      </c>
      <c r="G78" s="15"/>
      <c r="H78" s="21">
        <v>4620</v>
      </c>
      <c r="I78" s="21">
        <v>3215</v>
      </c>
      <c r="J78" s="21"/>
      <c r="K78" s="21">
        <v>0</v>
      </c>
      <c r="L78" s="21">
        <v>4620</v>
      </c>
      <c r="M78" s="21">
        <v>5031</v>
      </c>
      <c r="N78" s="21"/>
      <c r="O78" s="21">
        <v>1301</v>
      </c>
      <c r="P78" s="21">
        <v>3680</v>
      </c>
      <c r="Q78" s="21">
        <v>4328</v>
      </c>
      <c r="R78" s="21"/>
      <c r="S78" s="21">
        <v>2969</v>
      </c>
      <c r="T78" s="21">
        <v>4200</v>
      </c>
      <c r="U78" s="21"/>
      <c r="V78" s="21">
        <v>4029</v>
      </c>
      <c r="W78" s="21"/>
      <c r="X78" s="21">
        <v>4730</v>
      </c>
      <c r="Y78" s="21"/>
      <c r="Z78" s="21"/>
      <c r="AA78" s="21"/>
      <c r="AB78" s="21">
        <v>4730</v>
      </c>
      <c r="AC78" s="21"/>
      <c r="AD78" s="21"/>
      <c r="AE78" s="21"/>
      <c r="AF78" s="21">
        <v>4730</v>
      </c>
      <c r="AG78" s="21"/>
      <c r="AH78" s="21"/>
      <c r="AI78" s="21"/>
      <c r="AJ78" s="21">
        <v>4730</v>
      </c>
      <c r="AK78" s="21"/>
      <c r="AL78" s="21"/>
      <c r="AM78" s="21"/>
      <c r="AN78" s="21">
        <v>4730</v>
      </c>
      <c r="AO78" s="21"/>
      <c r="AP78" s="21"/>
      <c r="AQ78" s="21"/>
      <c r="AR78" s="21">
        <v>4470</v>
      </c>
      <c r="AS78" s="21"/>
      <c r="AT78" s="21"/>
      <c r="AU78" s="21"/>
      <c r="AV78" s="21">
        <v>4200</v>
      </c>
      <c r="AW78" s="21"/>
      <c r="AX78" s="21"/>
      <c r="AY78" s="21"/>
      <c r="AZ78" s="21">
        <v>3060</v>
      </c>
      <c r="BA78" s="21"/>
      <c r="BB78" s="21"/>
      <c r="BC78" s="21"/>
      <c r="BD78" s="16">
        <f t="shared" si="2"/>
        <v>52500</v>
      </c>
      <c r="BE78" s="16">
        <f t="shared" si="2"/>
        <v>12574</v>
      </c>
      <c r="BF78" s="16">
        <f t="shared" si="2"/>
        <v>4029</v>
      </c>
      <c r="BG78" s="16">
        <f t="shared" si="2"/>
        <v>4270</v>
      </c>
      <c r="BH78" s="16">
        <v>20000</v>
      </c>
      <c r="BI78" s="16">
        <v>15000</v>
      </c>
      <c r="BJ78" s="16">
        <v>10000</v>
      </c>
      <c r="BK78" s="16"/>
      <c r="BL78" s="7"/>
    </row>
    <row r="79" spans="2:64" ht="21" customHeight="1" x14ac:dyDescent="0.25">
      <c r="B79" s="19"/>
      <c r="C79" s="20"/>
      <c r="D79" s="20"/>
      <c r="E79" s="20" t="s">
        <v>30</v>
      </c>
      <c r="F79" s="20"/>
      <c r="G79" s="20"/>
      <c r="H79" s="22">
        <f>SUBTOTAL(9,H8:H78)</f>
        <v>19290</v>
      </c>
      <c r="I79" s="22">
        <f t="shared" ref="I79:BG79" si="3">SUBTOTAL(9,I8:I78)</f>
        <v>13743</v>
      </c>
      <c r="J79" s="22">
        <f t="shared" si="3"/>
        <v>0</v>
      </c>
      <c r="K79" s="22">
        <f t="shared" si="3"/>
        <v>467</v>
      </c>
      <c r="L79" s="22">
        <f t="shared" si="3"/>
        <v>19290</v>
      </c>
      <c r="M79" s="22">
        <f t="shared" si="3"/>
        <v>11772</v>
      </c>
      <c r="N79" s="22">
        <f t="shared" si="3"/>
        <v>0</v>
      </c>
      <c r="O79" s="22">
        <f t="shared" si="3"/>
        <v>1640</v>
      </c>
      <c r="P79" s="22">
        <f t="shared" si="3"/>
        <v>15330</v>
      </c>
      <c r="Q79" s="22">
        <f t="shared" si="3"/>
        <v>16878</v>
      </c>
      <c r="R79" s="22">
        <f t="shared" si="3"/>
        <v>0</v>
      </c>
      <c r="S79" s="22">
        <f t="shared" si="3"/>
        <v>849</v>
      </c>
      <c r="T79" s="22">
        <f t="shared" si="3"/>
        <v>17520</v>
      </c>
      <c r="U79" s="22">
        <f t="shared" si="3"/>
        <v>0</v>
      </c>
      <c r="V79" s="22">
        <f t="shared" si="3"/>
        <v>2780</v>
      </c>
      <c r="W79" s="22">
        <f t="shared" si="3"/>
        <v>0</v>
      </c>
      <c r="X79" s="22">
        <f t="shared" si="3"/>
        <v>19710</v>
      </c>
      <c r="Y79" s="22">
        <f t="shared" si="3"/>
        <v>0</v>
      </c>
      <c r="Z79" s="22">
        <f t="shared" si="3"/>
        <v>4000</v>
      </c>
      <c r="AA79" s="22">
        <f t="shared" si="3"/>
        <v>0</v>
      </c>
      <c r="AB79" s="22">
        <f t="shared" si="3"/>
        <v>19710</v>
      </c>
      <c r="AC79" s="22">
        <f t="shared" si="3"/>
        <v>0</v>
      </c>
      <c r="AD79" s="22">
        <f t="shared" si="3"/>
        <v>6000</v>
      </c>
      <c r="AE79" s="22">
        <f t="shared" si="3"/>
        <v>0</v>
      </c>
      <c r="AF79" s="22">
        <f t="shared" si="3"/>
        <v>19710</v>
      </c>
      <c r="AG79" s="22">
        <f t="shared" si="3"/>
        <v>0</v>
      </c>
      <c r="AH79" s="22">
        <f t="shared" si="3"/>
        <v>6000</v>
      </c>
      <c r="AI79" s="22">
        <f t="shared" si="3"/>
        <v>0</v>
      </c>
      <c r="AJ79" s="22">
        <f t="shared" si="3"/>
        <v>19710</v>
      </c>
      <c r="AK79" s="22">
        <f t="shared" si="3"/>
        <v>0</v>
      </c>
      <c r="AL79" s="22">
        <f t="shared" si="3"/>
        <v>6000</v>
      </c>
      <c r="AM79" s="22">
        <f t="shared" si="3"/>
        <v>0</v>
      </c>
      <c r="AN79" s="22">
        <f t="shared" si="3"/>
        <v>19710</v>
      </c>
      <c r="AO79" s="22">
        <f t="shared" si="3"/>
        <v>0</v>
      </c>
      <c r="AP79" s="22">
        <f t="shared" si="3"/>
        <v>6000</v>
      </c>
      <c r="AQ79" s="22">
        <f t="shared" si="3"/>
        <v>0</v>
      </c>
      <c r="AR79" s="22">
        <f t="shared" si="3"/>
        <v>18620</v>
      </c>
      <c r="AS79" s="22">
        <f t="shared" si="3"/>
        <v>0</v>
      </c>
      <c r="AT79" s="22">
        <f t="shared" si="3"/>
        <v>4500</v>
      </c>
      <c r="AU79" s="22">
        <f t="shared" si="3"/>
        <v>0</v>
      </c>
      <c r="AV79" s="22">
        <f t="shared" si="3"/>
        <v>17520</v>
      </c>
      <c r="AW79" s="22">
        <f t="shared" si="3"/>
        <v>0</v>
      </c>
      <c r="AX79" s="22">
        <f t="shared" si="3"/>
        <v>4800</v>
      </c>
      <c r="AY79" s="22">
        <f t="shared" si="3"/>
        <v>0</v>
      </c>
      <c r="AZ79" s="22">
        <f t="shared" si="3"/>
        <v>12880</v>
      </c>
      <c r="BA79" s="22">
        <f t="shared" si="3"/>
        <v>0</v>
      </c>
      <c r="BB79" s="22">
        <f t="shared" si="3"/>
        <v>0</v>
      </c>
      <c r="BC79" s="22">
        <f t="shared" si="3"/>
        <v>0</v>
      </c>
      <c r="BD79" s="22">
        <f t="shared" si="3"/>
        <v>219000</v>
      </c>
      <c r="BE79" s="22">
        <f t="shared" si="3"/>
        <v>42393</v>
      </c>
      <c r="BF79" s="22">
        <f t="shared" si="3"/>
        <v>40080</v>
      </c>
      <c r="BG79" s="22">
        <f t="shared" si="3"/>
        <v>2956</v>
      </c>
      <c r="BH79" s="22">
        <f t="shared" ref="BH79:BJ79" si="4">SUM(BH8:BH78)</f>
        <v>1127000</v>
      </c>
      <c r="BI79" s="22">
        <f t="shared" si="4"/>
        <v>770000</v>
      </c>
      <c r="BJ79" s="22">
        <f t="shared" si="4"/>
        <v>534000</v>
      </c>
      <c r="BK79" s="22">
        <f t="shared" ref="BK79" si="5">SUBTOTAL(9,BK8:BK78)</f>
        <v>40000</v>
      </c>
      <c r="BL79" s="6"/>
    </row>
    <row r="81" spans="22:22" x14ac:dyDescent="0.25">
      <c r="V81" s="23">
        <f>V79/T79</f>
        <v>0.158675799086758</v>
      </c>
    </row>
  </sheetData>
  <autoFilter ref="B7:BL78" xr:uid="{677F5657-2034-4922-8006-E8155D76C308}">
    <filterColumn colId="2">
      <filters>
        <filter val="DKI JAKARTA"/>
        <filter val="JABAR"/>
        <filter val="KALBAR"/>
      </filters>
    </filterColumn>
    <filterColumn colId="5">
      <customFilters>
        <customFilter operator="notEqual" val=" "/>
      </customFilters>
    </filterColumn>
  </autoFilter>
  <mergeCells count="48">
    <mergeCell ref="BK5:BK7"/>
    <mergeCell ref="AV6:AW6"/>
    <mergeCell ref="AX6:AY6"/>
    <mergeCell ref="AZ6:BA6"/>
    <mergeCell ref="BB6:BC6"/>
    <mergeCell ref="BD6:BE6"/>
    <mergeCell ref="BF6:BG6"/>
    <mergeCell ref="BH5:BJ6"/>
    <mergeCell ref="AT6:AU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BL5:BL7"/>
    <mergeCell ref="H6:I6"/>
    <mergeCell ref="J6:K6"/>
    <mergeCell ref="L6:M6"/>
    <mergeCell ref="N6:O6"/>
    <mergeCell ref="P6:Q6"/>
    <mergeCell ref="R6:S6"/>
    <mergeCell ref="T6:U6"/>
    <mergeCell ref="V6:W6"/>
    <mergeCell ref="AJ5:AM5"/>
    <mergeCell ref="AN5:AQ5"/>
    <mergeCell ref="AR5:AU5"/>
    <mergeCell ref="AV5:AY5"/>
    <mergeCell ref="AZ5:BC5"/>
    <mergeCell ref="BD5:BG5"/>
    <mergeCell ref="L5:O5"/>
    <mergeCell ref="P5:S5"/>
    <mergeCell ref="T5:W5"/>
    <mergeCell ref="X5:AA5"/>
    <mergeCell ref="AB5:AE5"/>
    <mergeCell ref="AF5:AI5"/>
    <mergeCell ref="H5:K5"/>
    <mergeCell ref="G5:G7"/>
    <mergeCell ref="B5:B7"/>
    <mergeCell ref="C5:C7"/>
    <mergeCell ref="D5:D7"/>
    <mergeCell ref="E5:E7"/>
    <mergeCell ref="F5:F7"/>
  </mergeCells>
  <printOptions horizontalCentered="1"/>
  <pageMargins left="0.5" right="0.25" top="0.5" bottom="0.2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FORCASE</vt:lpstr>
      <vt:lpstr>Dimas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Wardani TKM_HO</dc:creator>
  <cp:lastModifiedBy>TKM</cp:lastModifiedBy>
  <cp:lastPrinted>2026-03-27T12:15:53Z</cp:lastPrinted>
  <dcterms:created xsi:type="dcterms:W3CDTF">2026-03-27T09:01:00Z</dcterms:created>
  <dcterms:modified xsi:type="dcterms:W3CDTF">2026-04-13T01:35:42Z</dcterms:modified>
</cp:coreProperties>
</file>