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SPK OSP FO FTTH ROLL OUT FTTH MYREP TAHAP 1 PERIODE MEI AREA BANDUNG\"/>
    </mc:Choice>
  </mc:AlternateContent>
  <xr:revisionPtr revIDLastSave="0" documentId="13_ncr:1_{BB7A3646-D5BE-4CE5-B10A-362CB14BE45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ummary PO Permit" sheetId="15" state="hidden" r:id="rId1"/>
    <sheet name="BoQ NRO Cluster" sheetId="14" r:id="rId2"/>
    <sheet name="BoQ NRO All Feeder" sheetId="16" state="hidden" r:id="rId3"/>
    <sheet name="BoM AE" sheetId="12" r:id="rId4"/>
    <sheet name="CALCULATOR" sheetId="17" state="hidden" r:id="rId5"/>
  </sheets>
  <externalReferences>
    <externalReference r:id="rId6"/>
  </externalReferences>
  <definedNames>
    <definedName name="_xlnm._FilterDatabase" localSheetId="3" hidden="1">'BoM AE'!$A$1:$E$81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4" l="1"/>
  <c r="H56" i="14"/>
  <c r="E328" i="14" a="1"/>
  <c r="E328" i="14" s="1"/>
  <c r="C56" i="12" l="1"/>
  <c r="C61" i="12"/>
  <c r="C15" i="12"/>
  <c r="B1" i="12"/>
  <c r="J64" i="12" l="1"/>
  <c r="C5" i="17"/>
  <c r="B4" i="17"/>
  <c r="C4" i="17" s="1"/>
  <c r="I1" i="12"/>
  <c r="J66" i="12"/>
  <c r="D217" i="16"/>
  <c r="E218" i="16" s="1"/>
  <c r="D219" i="16"/>
  <c r="E220" i="16" s="1"/>
  <c r="C6" i="17" l="1"/>
  <c r="E4" i="17"/>
  <c r="E5" i="17" s="1"/>
  <c r="D219" i="14"/>
  <c r="E220" i="14" s="1"/>
  <c r="J18" i="12" l="1"/>
  <c r="J11" i="12" s="1"/>
  <c r="D145" i="16"/>
  <c r="D144" i="16"/>
  <c r="J65" i="12"/>
  <c r="J71" i="12"/>
  <c r="J73" i="12" s="1"/>
  <c r="D140" i="16" s="1"/>
  <c r="E141" i="16" s="1"/>
  <c r="E285" i="16"/>
  <c r="J22" i="12"/>
  <c r="J15" i="12" s="1"/>
  <c r="J21" i="12"/>
  <c r="J14" i="12" s="1"/>
  <c r="J20" i="12"/>
  <c r="J13" i="12" s="1"/>
  <c r="J19" i="12"/>
  <c r="J17" i="12"/>
  <c r="J10" i="12" s="1"/>
  <c r="J16" i="12"/>
  <c r="J9" i="12" s="1"/>
  <c r="C27" i="12"/>
  <c r="C26" i="12"/>
  <c r="C25" i="12"/>
  <c r="C24" i="12"/>
  <c r="C22" i="12"/>
  <c r="C21" i="12"/>
  <c r="D138" i="16" l="1"/>
  <c r="E139" i="16" s="1"/>
  <c r="C29" i="12"/>
  <c r="J12" i="12"/>
  <c r="E286" i="16"/>
  <c r="D83" i="16" l="1"/>
  <c r="K83" i="16" s="1"/>
  <c r="D241" i="16"/>
  <c r="D240" i="16"/>
  <c r="H240" i="16" s="1"/>
  <c r="D232" i="16"/>
  <c r="E232" i="16" s="1"/>
  <c r="D215" i="16"/>
  <c r="E216" i="16" s="1"/>
  <c r="D213" i="16"/>
  <c r="E214" i="16" s="1"/>
  <c r="H80" i="16"/>
  <c r="D81" i="16"/>
  <c r="K81" i="16" s="1"/>
  <c r="K82" i="16"/>
  <c r="K84" i="16"/>
  <c r="D85" i="16"/>
  <c r="K85" i="16" s="1"/>
  <c r="K87" i="16"/>
  <c r="D88" i="16"/>
  <c r="H26" i="16"/>
  <c r="I320" i="16"/>
  <c r="H320" i="16"/>
  <c r="I319" i="16"/>
  <c r="H319" i="16"/>
  <c r="I315" i="16"/>
  <c r="H315" i="16"/>
  <c r="I314" i="16"/>
  <c r="H314" i="16"/>
  <c r="I310" i="16"/>
  <c r="H310" i="16"/>
  <c r="I309" i="16"/>
  <c r="H309" i="16"/>
  <c r="I308" i="16"/>
  <c r="H308" i="16"/>
  <c r="I304" i="16"/>
  <c r="I305" i="16" s="1"/>
  <c r="H304" i="16"/>
  <c r="H305" i="16" s="1"/>
  <c r="J305" i="16" s="1"/>
  <c r="L300" i="16"/>
  <c r="K300" i="16"/>
  <c r="I300" i="16"/>
  <c r="I301" i="16" s="1"/>
  <c r="H300" i="16"/>
  <c r="H301" i="16" s="1"/>
  <c r="L296" i="16"/>
  <c r="H296" i="16"/>
  <c r="H297" i="16" s="1"/>
  <c r="L292" i="16"/>
  <c r="K292" i="16"/>
  <c r="I292" i="16"/>
  <c r="H292" i="16"/>
  <c r="L291" i="16"/>
  <c r="H291" i="16"/>
  <c r="H293" i="16" s="1"/>
  <c r="L287" i="16"/>
  <c r="H287" i="16"/>
  <c r="L286" i="16"/>
  <c r="H286" i="16"/>
  <c r="L285" i="16"/>
  <c r="K285" i="16"/>
  <c r="I285" i="16"/>
  <c r="H285" i="16"/>
  <c r="L284" i="16"/>
  <c r="K284" i="16"/>
  <c r="I284" i="16"/>
  <c r="H284" i="16"/>
  <c r="L280" i="16"/>
  <c r="K280" i="16"/>
  <c r="I280" i="16"/>
  <c r="H280" i="16"/>
  <c r="L279" i="16"/>
  <c r="K279" i="16"/>
  <c r="I279" i="16"/>
  <c r="H279" i="16"/>
  <c r="L278" i="16"/>
  <c r="K278" i="16"/>
  <c r="I278" i="16"/>
  <c r="H278" i="16"/>
  <c r="L277" i="16"/>
  <c r="K277" i="16"/>
  <c r="I277" i="16"/>
  <c r="H277" i="16"/>
  <c r="L276" i="16"/>
  <c r="K276" i="16"/>
  <c r="I276" i="16"/>
  <c r="H276" i="16"/>
  <c r="L275" i="16"/>
  <c r="K275" i="16"/>
  <c r="I275" i="16"/>
  <c r="H275" i="16"/>
  <c r="L274" i="16"/>
  <c r="K274" i="16"/>
  <c r="I274" i="16"/>
  <c r="H274" i="16"/>
  <c r="L273" i="16"/>
  <c r="K273" i="16"/>
  <c r="I273" i="16"/>
  <c r="H273" i="16"/>
  <c r="L272" i="16"/>
  <c r="K272" i="16"/>
  <c r="I272" i="16"/>
  <c r="H272" i="16"/>
  <c r="L271" i="16"/>
  <c r="K271" i="16"/>
  <c r="I271" i="16"/>
  <c r="H271" i="16"/>
  <c r="L270" i="16"/>
  <c r="K270" i="16"/>
  <c r="I270" i="16"/>
  <c r="H270" i="16"/>
  <c r="L269" i="16"/>
  <c r="K269" i="16"/>
  <c r="I269" i="16"/>
  <c r="H269" i="16"/>
  <c r="L268" i="16"/>
  <c r="K268" i="16"/>
  <c r="I268" i="16"/>
  <c r="H268" i="16"/>
  <c r="L267" i="16"/>
  <c r="K267" i="16"/>
  <c r="I267" i="16"/>
  <c r="H267" i="16"/>
  <c r="L266" i="16"/>
  <c r="K266" i="16"/>
  <c r="I266" i="16"/>
  <c r="H266" i="16"/>
  <c r="L265" i="16"/>
  <c r="K265" i="16"/>
  <c r="I265" i="16"/>
  <c r="H265" i="16"/>
  <c r="L264" i="16"/>
  <c r="K264" i="16"/>
  <c r="I264" i="16"/>
  <c r="H264" i="16"/>
  <c r="L263" i="16"/>
  <c r="K263" i="16"/>
  <c r="I263" i="16"/>
  <c r="H263" i="16"/>
  <c r="L262" i="16"/>
  <c r="K262" i="16"/>
  <c r="I262" i="16"/>
  <c r="H262" i="16"/>
  <c r="L261" i="16"/>
  <c r="K261" i="16"/>
  <c r="I261" i="16"/>
  <c r="H261" i="16"/>
  <c r="L260" i="16"/>
  <c r="K260" i="16"/>
  <c r="I260" i="16"/>
  <c r="H260" i="16"/>
  <c r="L259" i="16"/>
  <c r="K259" i="16"/>
  <c r="I259" i="16"/>
  <c r="H259" i="16"/>
  <c r="L258" i="16"/>
  <c r="K258" i="16"/>
  <c r="I258" i="16"/>
  <c r="H258" i="16"/>
  <c r="L257" i="16"/>
  <c r="K257" i="16"/>
  <c r="I257" i="16"/>
  <c r="H257" i="16"/>
  <c r="L256" i="16"/>
  <c r="K256" i="16"/>
  <c r="I256" i="16"/>
  <c r="H256" i="16"/>
  <c r="L255" i="16"/>
  <c r="K255" i="16"/>
  <c r="I255" i="16"/>
  <c r="H255" i="16"/>
  <c r="L254" i="16"/>
  <c r="K254" i="16"/>
  <c r="I254" i="16"/>
  <c r="H254" i="16"/>
  <c r="L253" i="16"/>
  <c r="K253" i="16"/>
  <c r="I253" i="16"/>
  <c r="H253" i="16"/>
  <c r="L252" i="16"/>
  <c r="K252" i="16"/>
  <c r="I252" i="16"/>
  <c r="H252" i="16"/>
  <c r="L251" i="16"/>
  <c r="K251" i="16"/>
  <c r="I251" i="16"/>
  <c r="H251" i="16"/>
  <c r="L250" i="16"/>
  <c r="K250" i="16"/>
  <c r="I250" i="16"/>
  <c r="H250" i="16"/>
  <c r="L249" i="16"/>
  <c r="K249" i="16"/>
  <c r="I249" i="16"/>
  <c r="H249" i="16"/>
  <c r="L248" i="16"/>
  <c r="K248" i="16"/>
  <c r="I248" i="16"/>
  <c r="H248" i="16"/>
  <c r="L247" i="16"/>
  <c r="K247" i="16"/>
  <c r="I247" i="16"/>
  <c r="H247" i="16"/>
  <c r="L246" i="16"/>
  <c r="K246" i="16"/>
  <c r="I246" i="16"/>
  <c r="H246" i="16"/>
  <c r="L245" i="16"/>
  <c r="K245" i="16"/>
  <c r="I245" i="16"/>
  <c r="H245" i="16"/>
  <c r="L241" i="16"/>
  <c r="L240" i="16"/>
  <c r="L239" i="16"/>
  <c r="L238" i="16"/>
  <c r="L237" i="16"/>
  <c r="K237" i="16"/>
  <c r="H237" i="16"/>
  <c r="I237" i="16"/>
  <c r="L236" i="16"/>
  <c r="L235" i="16"/>
  <c r="L234" i="16"/>
  <c r="H234" i="16"/>
  <c r="L233" i="16"/>
  <c r="K233" i="16"/>
  <c r="H233" i="16"/>
  <c r="I233" i="16"/>
  <c r="L231" i="16"/>
  <c r="L230" i="16"/>
  <c r="K230" i="16"/>
  <c r="H230" i="16"/>
  <c r="I230" i="16"/>
  <c r="L229" i="16"/>
  <c r="L228" i="16"/>
  <c r="L227" i="16"/>
  <c r="K227" i="16"/>
  <c r="I227" i="16"/>
  <c r="H227" i="16"/>
  <c r="L226" i="16"/>
  <c r="L225" i="16"/>
  <c r="L224" i="16"/>
  <c r="K224" i="16"/>
  <c r="I224" i="16"/>
  <c r="H224" i="16"/>
  <c r="L223" i="16"/>
  <c r="K223" i="16"/>
  <c r="I223" i="16"/>
  <c r="H223" i="16"/>
  <c r="L222" i="16"/>
  <c r="K222" i="16"/>
  <c r="I222" i="16"/>
  <c r="H222" i="16"/>
  <c r="L221" i="16"/>
  <c r="K221" i="16"/>
  <c r="I221" i="16"/>
  <c r="H221" i="16"/>
  <c r="L218" i="16"/>
  <c r="H218" i="16"/>
  <c r="L217" i="16"/>
  <c r="I217" i="16"/>
  <c r="K217" i="16"/>
  <c r="L216" i="16"/>
  <c r="H216" i="16"/>
  <c r="L215" i="16"/>
  <c r="I215" i="16"/>
  <c r="L214" i="16"/>
  <c r="H214" i="16"/>
  <c r="L213" i="16"/>
  <c r="I213" i="16"/>
  <c r="L212" i="16"/>
  <c r="H212" i="16"/>
  <c r="L211" i="16"/>
  <c r="I211" i="16"/>
  <c r="L210" i="16"/>
  <c r="H210" i="16"/>
  <c r="L209" i="16"/>
  <c r="I209" i="16"/>
  <c r="K209" i="16"/>
  <c r="L205" i="16"/>
  <c r="K205" i="16"/>
  <c r="I205" i="16"/>
  <c r="H205" i="16"/>
  <c r="L204" i="16"/>
  <c r="K204" i="16"/>
  <c r="I204" i="16"/>
  <c r="H204" i="16"/>
  <c r="L203" i="16"/>
  <c r="K203" i="16"/>
  <c r="I203" i="16"/>
  <c r="H203" i="16"/>
  <c r="L202" i="16"/>
  <c r="K202" i="16"/>
  <c r="I202" i="16"/>
  <c r="H202" i="16"/>
  <c r="L201" i="16"/>
  <c r="K201" i="16"/>
  <c r="I201" i="16"/>
  <c r="H201" i="16"/>
  <c r="L200" i="16"/>
  <c r="K200" i="16"/>
  <c r="I200" i="16"/>
  <c r="H200" i="16"/>
  <c r="L199" i="16"/>
  <c r="K199" i="16"/>
  <c r="I199" i="16"/>
  <c r="H199" i="16"/>
  <c r="L198" i="16"/>
  <c r="K198" i="16"/>
  <c r="I198" i="16"/>
  <c r="H198" i="16"/>
  <c r="L197" i="16"/>
  <c r="K197" i="16"/>
  <c r="I197" i="16"/>
  <c r="H197" i="16"/>
  <c r="L196" i="16"/>
  <c r="K196" i="16"/>
  <c r="I196" i="16"/>
  <c r="H196" i="16"/>
  <c r="L195" i="16"/>
  <c r="K195" i="16"/>
  <c r="I195" i="16"/>
  <c r="H195" i="16"/>
  <c r="L194" i="16"/>
  <c r="K194" i="16"/>
  <c r="I194" i="16"/>
  <c r="H194" i="16"/>
  <c r="L193" i="16"/>
  <c r="K193" i="16"/>
  <c r="I193" i="16"/>
  <c r="H193" i="16"/>
  <c r="L192" i="16"/>
  <c r="K192" i="16"/>
  <c r="I192" i="16"/>
  <c r="H192" i="16"/>
  <c r="L191" i="16"/>
  <c r="K191" i="16"/>
  <c r="I191" i="16"/>
  <c r="H191" i="16"/>
  <c r="L190" i="16"/>
  <c r="K190" i="16"/>
  <c r="I190" i="16"/>
  <c r="H190" i="16"/>
  <c r="L189" i="16"/>
  <c r="K189" i="16"/>
  <c r="I189" i="16"/>
  <c r="H189" i="16"/>
  <c r="L188" i="16"/>
  <c r="H188" i="16"/>
  <c r="L187" i="16"/>
  <c r="K187" i="16"/>
  <c r="L186" i="16"/>
  <c r="K186" i="16"/>
  <c r="L185" i="16"/>
  <c r="H185" i="16"/>
  <c r="E185" i="16"/>
  <c r="I185" i="16" s="1"/>
  <c r="L184" i="16"/>
  <c r="K184" i="16"/>
  <c r="I184" i="16"/>
  <c r="H184" i="16"/>
  <c r="L183" i="16"/>
  <c r="H183" i="16"/>
  <c r="E183" i="16"/>
  <c r="I183" i="16" s="1"/>
  <c r="L182" i="16"/>
  <c r="K182" i="16"/>
  <c r="I182" i="16"/>
  <c r="H182" i="16"/>
  <c r="L181" i="16"/>
  <c r="H181" i="16"/>
  <c r="E181" i="16"/>
  <c r="K181" i="16" s="1"/>
  <c r="L180" i="16"/>
  <c r="K180" i="16"/>
  <c r="I180" i="16"/>
  <c r="H180" i="16"/>
  <c r="L179" i="16"/>
  <c r="H179" i="16"/>
  <c r="E179" i="16"/>
  <c r="K179" i="16" s="1"/>
  <c r="L178" i="16"/>
  <c r="K178" i="16"/>
  <c r="I178" i="16"/>
  <c r="H178" i="16"/>
  <c r="L177" i="16"/>
  <c r="H177" i="16"/>
  <c r="E177" i="16"/>
  <c r="I177" i="16" s="1"/>
  <c r="L176" i="16"/>
  <c r="K176" i="16"/>
  <c r="I176" i="16"/>
  <c r="H176" i="16"/>
  <c r="L175" i="16"/>
  <c r="H175" i="16"/>
  <c r="E175" i="16"/>
  <c r="I175" i="16" s="1"/>
  <c r="L174" i="16"/>
  <c r="K174" i="16"/>
  <c r="I174" i="16"/>
  <c r="H174" i="16"/>
  <c r="L173" i="16"/>
  <c r="K173" i="16"/>
  <c r="I173" i="16"/>
  <c r="H173" i="16"/>
  <c r="L172" i="16"/>
  <c r="K172" i="16"/>
  <c r="I172" i="16"/>
  <c r="H172" i="16"/>
  <c r="L171" i="16"/>
  <c r="K171" i="16"/>
  <c r="I171" i="16"/>
  <c r="H171" i="16"/>
  <c r="L170" i="16"/>
  <c r="K170" i="16"/>
  <c r="I170" i="16"/>
  <c r="H170" i="16"/>
  <c r="L169" i="16"/>
  <c r="K169" i="16"/>
  <c r="I169" i="16"/>
  <c r="H169" i="16"/>
  <c r="L168" i="16"/>
  <c r="K168" i="16"/>
  <c r="I168" i="16"/>
  <c r="H168" i="16"/>
  <c r="L167" i="16"/>
  <c r="K167" i="16"/>
  <c r="I167" i="16"/>
  <c r="H167" i="16"/>
  <c r="L166" i="16"/>
  <c r="K166" i="16"/>
  <c r="I166" i="16"/>
  <c r="H166" i="16"/>
  <c r="L165" i="16"/>
  <c r="K165" i="16"/>
  <c r="I165" i="16"/>
  <c r="H165" i="16"/>
  <c r="L164" i="16"/>
  <c r="K164" i="16"/>
  <c r="I164" i="16"/>
  <c r="H164" i="16"/>
  <c r="L163" i="16"/>
  <c r="K163" i="16"/>
  <c r="I163" i="16"/>
  <c r="H163" i="16"/>
  <c r="L162" i="16"/>
  <c r="L161" i="16"/>
  <c r="K161" i="16"/>
  <c r="I161" i="16"/>
  <c r="H161" i="16"/>
  <c r="L160" i="16"/>
  <c r="K160" i="16"/>
  <c r="I160" i="16"/>
  <c r="H160" i="16"/>
  <c r="L159" i="16"/>
  <c r="K159" i="16"/>
  <c r="I159" i="16"/>
  <c r="H159" i="16"/>
  <c r="L158" i="16"/>
  <c r="K158" i="16"/>
  <c r="I158" i="16"/>
  <c r="H158" i="16"/>
  <c r="L157" i="16"/>
  <c r="K157" i="16"/>
  <c r="I157" i="16"/>
  <c r="H157" i="16"/>
  <c r="L156" i="16"/>
  <c r="K156" i="16"/>
  <c r="I156" i="16"/>
  <c r="H156" i="16"/>
  <c r="L155" i="16"/>
  <c r="K155" i="16"/>
  <c r="I155" i="16"/>
  <c r="H155" i="16"/>
  <c r="L154" i="16"/>
  <c r="K154" i="16"/>
  <c r="I154" i="16"/>
  <c r="H154" i="16"/>
  <c r="L153" i="16"/>
  <c r="K153" i="16"/>
  <c r="I153" i="16"/>
  <c r="H153" i="16"/>
  <c r="L152" i="16"/>
  <c r="K152" i="16"/>
  <c r="I152" i="16"/>
  <c r="H152" i="16"/>
  <c r="L151" i="16"/>
  <c r="K151" i="16"/>
  <c r="I151" i="16"/>
  <c r="H151" i="16"/>
  <c r="L150" i="16"/>
  <c r="K150" i="16"/>
  <c r="I150" i="16"/>
  <c r="H150" i="16"/>
  <c r="L149" i="16"/>
  <c r="K149" i="16"/>
  <c r="I149" i="16"/>
  <c r="H149" i="16"/>
  <c r="L148" i="16"/>
  <c r="K148" i="16"/>
  <c r="I148" i="16"/>
  <c r="H148" i="16"/>
  <c r="L147" i="16"/>
  <c r="K147" i="16"/>
  <c r="I147" i="16"/>
  <c r="H147" i="16"/>
  <c r="L146" i="16"/>
  <c r="K146" i="16"/>
  <c r="I146" i="16"/>
  <c r="H146" i="16"/>
  <c r="L145" i="16"/>
  <c r="K145" i="16"/>
  <c r="I145" i="16"/>
  <c r="H145" i="16"/>
  <c r="L144" i="16"/>
  <c r="K144" i="16"/>
  <c r="I144" i="16"/>
  <c r="H144" i="16"/>
  <c r="L143" i="16"/>
  <c r="K143" i="16"/>
  <c r="I143" i="16"/>
  <c r="H143" i="16"/>
  <c r="L142" i="16"/>
  <c r="K142" i="16"/>
  <c r="I142" i="16"/>
  <c r="H142" i="16"/>
  <c r="L141" i="16"/>
  <c r="H141" i="16"/>
  <c r="L140" i="16"/>
  <c r="K140" i="16"/>
  <c r="I140" i="16"/>
  <c r="H140" i="16"/>
  <c r="L139" i="16"/>
  <c r="H139" i="16"/>
  <c r="L138" i="16"/>
  <c r="K138" i="16"/>
  <c r="I138" i="16"/>
  <c r="H138" i="16"/>
  <c r="L137" i="16"/>
  <c r="H137" i="16"/>
  <c r="L136" i="16"/>
  <c r="K136" i="16"/>
  <c r="I136" i="16"/>
  <c r="H136" i="16"/>
  <c r="L135" i="16"/>
  <c r="H135" i="16"/>
  <c r="L134" i="16"/>
  <c r="K134" i="16"/>
  <c r="I134" i="16"/>
  <c r="H134" i="16"/>
  <c r="L133" i="16"/>
  <c r="K133" i="16"/>
  <c r="I133" i="16"/>
  <c r="H133" i="16"/>
  <c r="L132" i="16"/>
  <c r="K132" i="16"/>
  <c r="I132" i="16"/>
  <c r="H132" i="16"/>
  <c r="L131" i="16"/>
  <c r="K131" i="16"/>
  <c r="I131" i="16"/>
  <c r="H131" i="16"/>
  <c r="L130" i="16"/>
  <c r="K130" i="16"/>
  <c r="I130" i="16"/>
  <c r="H130" i="16"/>
  <c r="L129" i="16"/>
  <c r="K129" i="16"/>
  <c r="I129" i="16"/>
  <c r="H129" i="16"/>
  <c r="L128" i="16"/>
  <c r="K128" i="16"/>
  <c r="I128" i="16"/>
  <c r="H128" i="16"/>
  <c r="L127" i="16"/>
  <c r="K127" i="16"/>
  <c r="I127" i="16"/>
  <c r="H127" i="16"/>
  <c r="L126" i="16"/>
  <c r="K126" i="16"/>
  <c r="I126" i="16"/>
  <c r="H126" i="16"/>
  <c r="L125" i="16"/>
  <c r="K125" i="16"/>
  <c r="I125" i="16"/>
  <c r="H125" i="16"/>
  <c r="L124" i="16"/>
  <c r="K124" i="16"/>
  <c r="I124" i="16"/>
  <c r="H124" i="16"/>
  <c r="L123" i="16"/>
  <c r="K123" i="16"/>
  <c r="I123" i="16"/>
  <c r="H123" i="16"/>
  <c r="L122" i="16"/>
  <c r="K122" i="16"/>
  <c r="I122" i="16"/>
  <c r="H122" i="16"/>
  <c r="L121" i="16"/>
  <c r="K121" i="16"/>
  <c r="I121" i="16"/>
  <c r="H121" i="16"/>
  <c r="L119" i="16"/>
  <c r="K119" i="16"/>
  <c r="I119" i="16"/>
  <c r="H119" i="16"/>
  <c r="L118" i="16"/>
  <c r="K118" i="16"/>
  <c r="I118" i="16"/>
  <c r="H118" i="16"/>
  <c r="L117" i="16"/>
  <c r="K117" i="16"/>
  <c r="I117" i="16"/>
  <c r="H117" i="16"/>
  <c r="L116" i="16"/>
  <c r="K116" i="16"/>
  <c r="I116" i="16"/>
  <c r="H116" i="16"/>
  <c r="L115" i="16"/>
  <c r="K115" i="16"/>
  <c r="I115" i="16"/>
  <c r="H115" i="16"/>
  <c r="L114" i="16"/>
  <c r="K114" i="16"/>
  <c r="I114" i="16"/>
  <c r="H114" i="16"/>
  <c r="L113" i="16"/>
  <c r="K113" i="16"/>
  <c r="I113" i="16"/>
  <c r="H113" i="16"/>
  <c r="L112" i="16"/>
  <c r="L111" i="16"/>
  <c r="K111" i="16"/>
  <c r="I111" i="16"/>
  <c r="H111" i="16"/>
  <c r="L110" i="16"/>
  <c r="K110" i="16"/>
  <c r="I110" i="16"/>
  <c r="H110" i="16"/>
  <c r="L109" i="16"/>
  <c r="K109" i="16"/>
  <c r="I109" i="16"/>
  <c r="H109" i="16"/>
  <c r="L108" i="16"/>
  <c r="K108" i="16"/>
  <c r="L104" i="16"/>
  <c r="K104" i="16"/>
  <c r="I104" i="16"/>
  <c r="H104" i="16"/>
  <c r="L103" i="16"/>
  <c r="K103" i="16"/>
  <c r="I103" i="16"/>
  <c r="H103" i="16"/>
  <c r="L102" i="16"/>
  <c r="K102" i="16"/>
  <c r="I102" i="16"/>
  <c r="H102" i="16"/>
  <c r="L101" i="16"/>
  <c r="K101" i="16"/>
  <c r="I101" i="16"/>
  <c r="H101" i="16"/>
  <c r="L100" i="16"/>
  <c r="K100" i="16"/>
  <c r="I100" i="16"/>
  <c r="H100" i="16"/>
  <c r="L99" i="16"/>
  <c r="K99" i="16"/>
  <c r="I99" i="16"/>
  <c r="H99" i="16"/>
  <c r="L98" i="16"/>
  <c r="H98" i="16"/>
  <c r="L97" i="16"/>
  <c r="L96" i="16"/>
  <c r="L95" i="16"/>
  <c r="L94" i="16"/>
  <c r="L92" i="16"/>
  <c r="H92" i="16"/>
  <c r="L91" i="16"/>
  <c r="K91" i="16"/>
  <c r="I91" i="16"/>
  <c r="H91" i="16"/>
  <c r="L90" i="16"/>
  <c r="K90" i="16"/>
  <c r="I90" i="16"/>
  <c r="H90" i="16"/>
  <c r="L87" i="16"/>
  <c r="I87" i="16"/>
  <c r="L85" i="16"/>
  <c r="I85" i="16"/>
  <c r="L84" i="16"/>
  <c r="I84" i="16"/>
  <c r="L83" i="16"/>
  <c r="I83" i="16"/>
  <c r="L82" i="16"/>
  <c r="I82" i="16"/>
  <c r="H82" i="16"/>
  <c r="L81" i="16"/>
  <c r="I81" i="16"/>
  <c r="L80" i="16"/>
  <c r="K80" i="16"/>
  <c r="I80" i="16"/>
  <c r="L78" i="16"/>
  <c r="I78" i="16"/>
  <c r="L77" i="16"/>
  <c r="I77" i="16"/>
  <c r="L76" i="16"/>
  <c r="I76" i="16"/>
  <c r="L75" i="16"/>
  <c r="K75" i="16"/>
  <c r="I75" i="16"/>
  <c r="H75" i="16"/>
  <c r="L74" i="16"/>
  <c r="K74" i="16"/>
  <c r="I74" i="16"/>
  <c r="H74" i="16"/>
  <c r="L67" i="16"/>
  <c r="K67" i="16"/>
  <c r="I67" i="16"/>
  <c r="H67" i="16"/>
  <c r="L66" i="16"/>
  <c r="H66" i="16"/>
  <c r="K66" i="16"/>
  <c r="L65" i="16"/>
  <c r="K65" i="16"/>
  <c r="I65" i="16"/>
  <c r="H65" i="16"/>
  <c r="L64" i="16"/>
  <c r="H64" i="16"/>
  <c r="K64" i="16"/>
  <c r="L63" i="16"/>
  <c r="I63" i="16"/>
  <c r="L62" i="16"/>
  <c r="K62" i="16"/>
  <c r="I62" i="16"/>
  <c r="H62" i="16"/>
  <c r="L61" i="16"/>
  <c r="I61" i="16"/>
  <c r="L60" i="16"/>
  <c r="K60" i="16"/>
  <c r="I60" i="16"/>
  <c r="H60" i="16"/>
  <c r="L59" i="16"/>
  <c r="K59" i="16"/>
  <c r="I59" i="16"/>
  <c r="H59" i="16"/>
  <c r="L58" i="16"/>
  <c r="I58" i="16"/>
  <c r="L57" i="16"/>
  <c r="K57" i="16"/>
  <c r="I57" i="16"/>
  <c r="H57" i="16"/>
  <c r="L56" i="16"/>
  <c r="K56" i="16"/>
  <c r="I56" i="16"/>
  <c r="H56" i="16"/>
  <c r="L53" i="16"/>
  <c r="K53" i="16"/>
  <c r="I53" i="16"/>
  <c r="H53" i="16"/>
  <c r="L52" i="16"/>
  <c r="K52" i="16"/>
  <c r="I52" i="16"/>
  <c r="H52" i="16"/>
  <c r="L51" i="16"/>
  <c r="K51" i="16"/>
  <c r="I51" i="16"/>
  <c r="H51" i="16"/>
  <c r="L50" i="16"/>
  <c r="K50" i="16"/>
  <c r="I50" i="16"/>
  <c r="H50" i="16"/>
  <c r="L49" i="16"/>
  <c r="H49" i="16"/>
  <c r="L48" i="16"/>
  <c r="I48" i="16"/>
  <c r="L47" i="16"/>
  <c r="H47" i="16"/>
  <c r="I47" i="16"/>
  <c r="L46" i="16"/>
  <c r="I46" i="16"/>
  <c r="K46" i="16"/>
  <c r="L45" i="16"/>
  <c r="H45" i="16"/>
  <c r="I45" i="16"/>
  <c r="L44" i="16"/>
  <c r="I44" i="16"/>
  <c r="K44" i="16"/>
  <c r="L43" i="16"/>
  <c r="I43" i="16"/>
  <c r="L42" i="16"/>
  <c r="I42" i="16"/>
  <c r="L41" i="16"/>
  <c r="K41" i="16"/>
  <c r="I41" i="16"/>
  <c r="H41" i="16"/>
  <c r="L28" i="16"/>
  <c r="H28" i="16"/>
  <c r="L27" i="16"/>
  <c r="I27" i="16"/>
  <c r="L26" i="16"/>
  <c r="L25" i="16"/>
  <c r="I25" i="16"/>
  <c r="L20" i="16"/>
  <c r="H20" i="16"/>
  <c r="L19" i="16"/>
  <c r="I19" i="16"/>
  <c r="L18" i="16"/>
  <c r="H18" i="16"/>
  <c r="L17" i="16"/>
  <c r="I17" i="16"/>
  <c r="L16" i="16"/>
  <c r="H16" i="16"/>
  <c r="L15" i="16"/>
  <c r="I15" i="16"/>
  <c r="I10" i="16"/>
  <c r="L9" i="16"/>
  <c r="K9" i="16"/>
  <c r="H9" i="16"/>
  <c r="L8" i="16"/>
  <c r="K8" i="16"/>
  <c r="H8" i="16"/>
  <c r="H10" i="16" s="1"/>
  <c r="C64" i="12"/>
  <c r="H316" i="16" l="1"/>
  <c r="H321" i="16"/>
  <c r="I321" i="16"/>
  <c r="I316" i="16"/>
  <c r="H281" i="16"/>
  <c r="I311" i="16"/>
  <c r="I281" i="16"/>
  <c r="J281" i="16" s="1"/>
  <c r="J316" i="16"/>
  <c r="H288" i="16"/>
  <c r="J301" i="16"/>
  <c r="H311" i="16"/>
  <c r="H83" i="16"/>
  <c r="K63" i="16"/>
  <c r="K175" i="16"/>
  <c r="H85" i="16"/>
  <c r="H81" i="16"/>
  <c r="H87" i="16"/>
  <c r="H84" i="16"/>
  <c r="K43" i="16"/>
  <c r="K45" i="16"/>
  <c r="K211" i="16"/>
  <c r="E240" i="16"/>
  <c r="I240" i="16" s="1"/>
  <c r="K183" i="16"/>
  <c r="I98" i="16"/>
  <c r="K185" i="16"/>
  <c r="H63" i="16"/>
  <c r="H211" i="16"/>
  <c r="I66" i="16"/>
  <c r="K177" i="16"/>
  <c r="H209" i="16"/>
  <c r="I64" i="16"/>
  <c r="I210" i="16"/>
  <c r="K216" i="16"/>
  <c r="I216" i="16"/>
  <c r="H48" i="16"/>
  <c r="K48" i="16"/>
  <c r="K212" i="16"/>
  <c r="I212" i="16"/>
  <c r="J321" i="16"/>
  <c r="I214" i="16"/>
  <c r="K214" i="16"/>
  <c r="J10" i="16"/>
  <c r="I181" i="16"/>
  <c r="H44" i="16"/>
  <c r="H215" i="16"/>
  <c r="I179" i="16"/>
  <c r="H213" i="16"/>
  <c r="K215" i="16"/>
  <c r="K49" i="16"/>
  <c r="I112" i="16"/>
  <c r="E241" i="16"/>
  <c r="K241" i="16" s="1"/>
  <c r="H217" i="16"/>
  <c r="H112" i="16"/>
  <c r="K47" i="16"/>
  <c r="H46" i="16"/>
  <c r="I234" i="16"/>
  <c r="I49" i="16"/>
  <c r="K213" i="16"/>
  <c r="B3" i="15"/>
  <c r="J311" i="16" l="1"/>
  <c r="K210" i="16"/>
  <c r="K240" i="16"/>
  <c r="K112" i="16"/>
  <c r="K98" i="16"/>
  <c r="K234" i="16"/>
  <c r="K42" i="16"/>
  <c r="H42" i="16"/>
  <c r="K218" i="16"/>
  <c r="I218" i="16"/>
  <c r="J39" i="12" l="1"/>
  <c r="D229" i="16" s="1"/>
  <c r="H229" i="16" l="1"/>
  <c r="E229" i="16"/>
  <c r="I229" i="16" s="1"/>
  <c r="J61" i="12"/>
  <c r="D97" i="16" s="1"/>
  <c r="J60" i="12"/>
  <c r="D94" i="16" s="1"/>
  <c r="J42" i="12"/>
  <c r="D239" i="16" s="1"/>
  <c r="J40" i="12"/>
  <c r="D231" i="16" s="1"/>
  <c r="D241" i="14"/>
  <c r="E241" i="14" s="1"/>
  <c r="D240" i="14"/>
  <c r="E240" i="14" s="1"/>
  <c r="D232" i="14"/>
  <c r="E232" i="14" s="1"/>
  <c r="D234" i="14"/>
  <c r="E234" i="14" s="1"/>
  <c r="D229" i="14"/>
  <c r="E229" i="14" s="1"/>
  <c r="E233" i="14"/>
  <c r="E237" i="14"/>
  <c r="E230" i="14"/>
  <c r="D217" i="14"/>
  <c r="E218" i="14" s="1"/>
  <c r="D215" i="14"/>
  <c r="E216" i="14" s="1"/>
  <c r="D213" i="14"/>
  <c r="E214" i="14" s="1"/>
  <c r="E185" i="14"/>
  <c r="E183" i="14"/>
  <c r="E181" i="14"/>
  <c r="E179" i="14"/>
  <c r="E177" i="14"/>
  <c r="E175" i="14"/>
  <c r="C104" i="12"/>
  <c r="C100" i="12"/>
  <c r="C90" i="12"/>
  <c r="C102" i="12" s="1"/>
  <c r="C89" i="12"/>
  <c r="D112" i="14"/>
  <c r="E112" i="14" s="1"/>
  <c r="D98" i="14"/>
  <c r="E98" i="14" s="1"/>
  <c r="E66" i="14"/>
  <c r="E64" i="14"/>
  <c r="D63" i="14" s="1"/>
  <c r="E49" i="14"/>
  <c r="D48" i="14" s="1"/>
  <c r="E47" i="14"/>
  <c r="D46" i="14" s="1"/>
  <c r="E45" i="14"/>
  <c r="D44" i="14" s="1"/>
  <c r="E43" i="14"/>
  <c r="D42" i="14" s="1"/>
  <c r="K229" i="16" l="1"/>
  <c r="E135" i="14"/>
  <c r="E188" i="14"/>
  <c r="E188" i="16"/>
  <c r="C92" i="12"/>
  <c r="K209" i="14"/>
  <c r="C91" i="12"/>
  <c r="K188" i="16" l="1"/>
  <c r="I188" i="16"/>
  <c r="K135" i="16"/>
  <c r="I135" i="16"/>
  <c r="E137" i="14"/>
  <c r="E141" i="14"/>
  <c r="E139" i="14"/>
  <c r="K139" i="16" l="1"/>
  <c r="I139" i="16"/>
  <c r="K141" i="16"/>
  <c r="I141" i="16"/>
  <c r="I226" i="16"/>
  <c r="H226" i="16"/>
  <c r="I137" i="16"/>
  <c r="K137" i="16"/>
  <c r="D226" i="14"/>
  <c r="E226" i="14" s="1"/>
  <c r="I226" i="14" s="1"/>
  <c r="C65" i="12"/>
  <c r="I320" i="14"/>
  <c r="H320" i="14"/>
  <c r="I319" i="14"/>
  <c r="H319" i="14"/>
  <c r="I315" i="14"/>
  <c r="H315" i="14"/>
  <c r="I314" i="14"/>
  <c r="I316" i="14" s="1"/>
  <c r="H314" i="14"/>
  <c r="H316" i="14" s="1"/>
  <c r="I310" i="14"/>
  <c r="H310" i="14"/>
  <c r="I309" i="14"/>
  <c r="H309" i="14"/>
  <c r="I308" i="14"/>
  <c r="H308" i="14"/>
  <c r="I304" i="14"/>
  <c r="I305" i="14" s="1"/>
  <c r="H304" i="14"/>
  <c r="H305" i="14" s="1"/>
  <c r="L300" i="14"/>
  <c r="K300" i="14"/>
  <c r="I300" i="14"/>
  <c r="I301" i="14" s="1"/>
  <c r="H300" i="14"/>
  <c r="H301" i="14" s="1"/>
  <c r="L296" i="14"/>
  <c r="H296" i="14"/>
  <c r="H297" i="14" s="1"/>
  <c r="L292" i="14"/>
  <c r="K292" i="14"/>
  <c r="I292" i="14"/>
  <c r="H292" i="14"/>
  <c r="L291" i="14"/>
  <c r="H291" i="14"/>
  <c r="L287" i="14"/>
  <c r="H287" i="14"/>
  <c r="L286" i="14"/>
  <c r="H286" i="14"/>
  <c r="L285" i="14"/>
  <c r="K285" i="14"/>
  <c r="I285" i="14"/>
  <c r="H285" i="14"/>
  <c r="L284" i="14"/>
  <c r="K284" i="14"/>
  <c r="I284" i="14"/>
  <c r="H284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L240" i="14"/>
  <c r="K240" i="14"/>
  <c r="I240" i="14"/>
  <c r="H240" i="14"/>
  <c r="L239" i="14"/>
  <c r="L238" i="14"/>
  <c r="L237" i="14"/>
  <c r="K237" i="14"/>
  <c r="I237" i="14"/>
  <c r="H237" i="14"/>
  <c r="L236" i="14"/>
  <c r="L235" i="14"/>
  <c r="L234" i="14"/>
  <c r="K234" i="14"/>
  <c r="I234" i="14"/>
  <c r="H234" i="14"/>
  <c r="L233" i="14"/>
  <c r="K233" i="14"/>
  <c r="I233" i="14"/>
  <c r="H233" i="14"/>
  <c r="L231" i="14"/>
  <c r="L230" i="14"/>
  <c r="K230" i="14"/>
  <c r="I230" i="14"/>
  <c r="H230" i="14"/>
  <c r="L229" i="14"/>
  <c r="K229" i="14"/>
  <c r="I229" i="14"/>
  <c r="H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L218" i="14"/>
  <c r="K218" i="14"/>
  <c r="I218" i="14"/>
  <c r="H218" i="14"/>
  <c r="L217" i="14"/>
  <c r="K217" i="14"/>
  <c r="I217" i="14"/>
  <c r="H217" i="14"/>
  <c r="L216" i="14"/>
  <c r="K216" i="14"/>
  <c r="I216" i="14"/>
  <c r="H216" i="14"/>
  <c r="L215" i="14"/>
  <c r="K215" i="14"/>
  <c r="I215" i="14"/>
  <c r="H215" i="14"/>
  <c r="L214" i="14"/>
  <c r="K214" i="14"/>
  <c r="I214" i="14"/>
  <c r="H214" i="14"/>
  <c r="L213" i="14"/>
  <c r="K213" i="14"/>
  <c r="I213" i="14"/>
  <c r="H213" i="14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L187" i="14"/>
  <c r="K187" i="14"/>
  <c r="L186" i="14"/>
  <c r="K186" i="14"/>
  <c r="L185" i="14"/>
  <c r="K185" i="14"/>
  <c r="H185" i="14"/>
  <c r="I185" i="14"/>
  <c r="L184" i="14"/>
  <c r="K184" i="14"/>
  <c r="I184" i="14"/>
  <c r="H184" i="14"/>
  <c r="L183" i="14"/>
  <c r="I183" i="14"/>
  <c r="H183" i="14"/>
  <c r="K183" i="14"/>
  <c r="L182" i="14"/>
  <c r="K182" i="14"/>
  <c r="I182" i="14"/>
  <c r="H182" i="14"/>
  <c r="L181" i="14"/>
  <c r="K181" i="14"/>
  <c r="H181" i="14"/>
  <c r="I181" i="14"/>
  <c r="L180" i="14"/>
  <c r="K180" i="14"/>
  <c r="I180" i="14"/>
  <c r="H180" i="14"/>
  <c r="L179" i="14"/>
  <c r="H179" i="14"/>
  <c r="K179" i="14"/>
  <c r="L178" i="14"/>
  <c r="K178" i="14"/>
  <c r="I178" i="14"/>
  <c r="H178" i="14"/>
  <c r="L177" i="14"/>
  <c r="K177" i="14"/>
  <c r="H177" i="14"/>
  <c r="I177" i="14"/>
  <c r="L176" i="14"/>
  <c r="K176" i="14"/>
  <c r="I176" i="14"/>
  <c r="H176" i="14"/>
  <c r="L175" i="14"/>
  <c r="I175" i="14"/>
  <c r="H175" i="14"/>
  <c r="K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H141" i="14"/>
  <c r="I141" i="14"/>
  <c r="L140" i="14"/>
  <c r="K140" i="14"/>
  <c r="I140" i="14"/>
  <c r="H140" i="14"/>
  <c r="L139" i="14"/>
  <c r="H139" i="14"/>
  <c r="K139" i="14"/>
  <c r="L138" i="14"/>
  <c r="K138" i="14"/>
  <c r="I138" i="14"/>
  <c r="H138" i="14"/>
  <c r="L137" i="14"/>
  <c r="H137" i="14"/>
  <c r="K137" i="14"/>
  <c r="L136" i="14"/>
  <c r="K136" i="14"/>
  <c r="I136" i="14"/>
  <c r="H136" i="14"/>
  <c r="L135" i="14"/>
  <c r="I135" i="14"/>
  <c r="H135" i="14"/>
  <c r="K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L65" i="14"/>
  <c r="K65" i="14"/>
  <c r="I65" i="14"/>
  <c r="H65" i="14"/>
  <c r="L64" i="14"/>
  <c r="K64" i="14"/>
  <c r="I64" i="14"/>
  <c r="H64" i="14"/>
  <c r="L63" i="14"/>
  <c r="K63" i="14"/>
  <c r="I63" i="14"/>
  <c r="H63" i="14"/>
  <c r="L62" i="14"/>
  <c r="K62" i="14"/>
  <c r="I62" i="14"/>
  <c r="H62" i="14"/>
  <c r="L61" i="14"/>
  <c r="L60" i="14"/>
  <c r="K60" i="14"/>
  <c r="I60" i="14"/>
  <c r="H60" i="14"/>
  <c r="L59" i="14"/>
  <c r="K59" i="14"/>
  <c r="I59" i="14"/>
  <c r="H59" i="14"/>
  <c r="L58" i="14"/>
  <c r="L57" i="14"/>
  <c r="H57" i="14"/>
  <c r="L56" i="14"/>
  <c r="K56" i="14"/>
  <c r="I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L48" i="14"/>
  <c r="K48" i="14"/>
  <c r="I48" i="14"/>
  <c r="H48" i="14"/>
  <c r="L47" i="14"/>
  <c r="K47" i="14"/>
  <c r="I47" i="14"/>
  <c r="H47" i="14"/>
  <c r="L46" i="14"/>
  <c r="K46" i="14"/>
  <c r="I46" i="14"/>
  <c r="H46" i="14"/>
  <c r="L45" i="14"/>
  <c r="K45" i="14"/>
  <c r="I45" i="14"/>
  <c r="H45" i="14"/>
  <c r="L44" i="14"/>
  <c r="K44" i="14"/>
  <c r="I44" i="14"/>
  <c r="H44" i="14"/>
  <c r="L43" i="14"/>
  <c r="K43" i="14"/>
  <c r="I43" i="14"/>
  <c r="L42" i="14"/>
  <c r="K42" i="14"/>
  <c r="I42" i="14"/>
  <c r="H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I10" i="14"/>
  <c r="L9" i="14"/>
  <c r="K9" i="14"/>
  <c r="H9" i="14"/>
  <c r="L8" i="14"/>
  <c r="H10" i="14"/>
  <c r="C74" i="12"/>
  <c r="C73" i="12" s="1"/>
  <c r="C70" i="12"/>
  <c r="C69" i="12"/>
  <c r="C67" i="12"/>
  <c r="C63" i="12"/>
  <c r="C52" i="12"/>
  <c r="C51" i="12"/>
  <c r="C50" i="12"/>
  <c r="C49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5" i="12"/>
  <c r="B27" i="12"/>
  <c r="B26" i="12"/>
  <c r="B25" i="12"/>
  <c r="B24" i="12"/>
  <c r="B23" i="12"/>
  <c r="B22" i="12"/>
  <c r="B21" i="12"/>
  <c r="B20" i="12"/>
  <c r="B19" i="12"/>
  <c r="B18" i="12"/>
  <c r="B17" i="12"/>
  <c r="I22" i="12"/>
  <c r="B16" i="12"/>
  <c r="I21" i="12"/>
  <c r="I18" i="12"/>
  <c r="C14" i="12"/>
  <c r="I17" i="12"/>
  <c r="I16" i="12"/>
  <c r="I15" i="12"/>
  <c r="I14" i="12"/>
  <c r="I11" i="12"/>
  <c r="I10" i="12"/>
  <c r="I9" i="12"/>
  <c r="C20" i="12" l="1"/>
  <c r="J316" i="14"/>
  <c r="C23" i="12"/>
  <c r="C19" i="12"/>
  <c r="C18" i="12"/>
  <c r="C17" i="12"/>
  <c r="C16" i="12"/>
  <c r="H321" i="14"/>
  <c r="I321" i="14"/>
  <c r="I162" i="14"/>
  <c r="K226" i="16"/>
  <c r="H61" i="14"/>
  <c r="D95" i="14"/>
  <c r="E95" i="14" s="1"/>
  <c r="I95" i="14" s="1"/>
  <c r="D96" i="14"/>
  <c r="E96" i="14" s="1"/>
  <c r="I96" i="14" s="1"/>
  <c r="D236" i="14"/>
  <c r="E236" i="14" s="1"/>
  <c r="I236" i="14" s="1"/>
  <c r="D235" i="14"/>
  <c r="E235" i="14" s="1"/>
  <c r="I235" i="14" s="1"/>
  <c r="D231" i="14"/>
  <c r="E231" i="14" s="1"/>
  <c r="I231" i="14" s="1"/>
  <c r="D239" i="14"/>
  <c r="E239" i="14" s="1"/>
  <c r="I239" i="14" s="1"/>
  <c r="H226" i="14"/>
  <c r="D94" i="14"/>
  <c r="E94" i="14" s="1"/>
  <c r="I94" i="14" s="1"/>
  <c r="D97" i="14"/>
  <c r="E97" i="14" s="1"/>
  <c r="I97" i="14" s="1"/>
  <c r="D228" i="14"/>
  <c r="E228" i="14" s="1"/>
  <c r="I228" i="14" s="1"/>
  <c r="H231" i="16"/>
  <c r="E231" i="16"/>
  <c r="I231" i="16" s="1"/>
  <c r="H281" i="14"/>
  <c r="H288" i="14"/>
  <c r="I281" i="14"/>
  <c r="H311" i="14"/>
  <c r="I311" i="14"/>
  <c r="K226" i="14"/>
  <c r="K57" i="14"/>
  <c r="H293" i="14"/>
  <c r="J305" i="14"/>
  <c r="C66" i="12"/>
  <c r="I57" i="14"/>
  <c r="C48" i="12"/>
  <c r="C34" i="12"/>
  <c r="C76" i="12"/>
  <c r="J10" i="14"/>
  <c r="J301" i="14"/>
  <c r="I137" i="14"/>
  <c r="I139" i="14"/>
  <c r="I179" i="14"/>
  <c r="C62" i="12"/>
  <c r="E18" i="14" l="1"/>
  <c r="D17" i="14" s="1"/>
  <c r="K17" i="14" s="1"/>
  <c r="J281" i="14"/>
  <c r="J321" i="14"/>
  <c r="K97" i="14"/>
  <c r="H94" i="14"/>
  <c r="K231" i="16"/>
  <c r="H231" i="14"/>
  <c r="H239" i="14"/>
  <c r="K239" i="14"/>
  <c r="K236" i="14"/>
  <c r="H97" i="14"/>
  <c r="K94" i="14"/>
  <c r="K231" i="14"/>
  <c r="H96" i="14"/>
  <c r="I97" i="16"/>
  <c r="H97" i="16"/>
  <c r="K228" i="14"/>
  <c r="H94" i="16"/>
  <c r="I94" i="16"/>
  <c r="D238" i="14"/>
  <c r="E238" i="14" s="1"/>
  <c r="I238" i="14" s="1"/>
  <c r="I95" i="16"/>
  <c r="H95" i="16"/>
  <c r="K95" i="16"/>
  <c r="D225" i="14"/>
  <c r="E225" i="14" s="1"/>
  <c r="I225" i="14" s="1"/>
  <c r="E287" i="14"/>
  <c r="K287" i="14" s="1"/>
  <c r="H95" i="14"/>
  <c r="K61" i="16"/>
  <c r="H61" i="16"/>
  <c r="K95" i="14"/>
  <c r="K235" i="14"/>
  <c r="E239" i="16"/>
  <c r="I239" i="16" s="1"/>
  <c r="H239" i="16"/>
  <c r="H96" i="16"/>
  <c r="I96" i="16"/>
  <c r="H228" i="14"/>
  <c r="I162" i="16"/>
  <c r="I206" i="16" s="1"/>
  <c r="M206" i="16" s="1"/>
  <c r="H162" i="16"/>
  <c r="H206" i="16" s="1"/>
  <c r="H58" i="16"/>
  <c r="K58" i="16"/>
  <c r="H235" i="14"/>
  <c r="K96" i="14"/>
  <c r="H236" i="14"/>
  <c r="J311" i="14"/>
  <c r="E92" i="14"/>
  <c r="H58" i="14"/>
  <c r="K162" i="14"/>
  <c r="H162" i="14"/>
  <c r="H206" i="14" s="1"/>
  <c r="I61" i="14"/>
  <c r="K61" i="14"/>
  <c r="I206" i="14"/>
  <c r="M206" i="14" s="1"/>
  <c r="E20" i="14"/>
  <c r="C28" i="12"/>
  <c r="C79" i="12" s="1"/>
  <c r="C80" i="12" s="1"/>
  <c r="E291" i="14" s="1"/>
  <c r="I291" i="14" s="1"/>
  <c r="I293" i="14" s="1"/>
  <c r="J293" i="14" s="1"/>
  <c r="C77" i="12"/>
  <c r="K18" i="14" l="1"/>
  <c r="I18" i="14"/>
  <c r="H17" i="14"/>
  <c r="J206" i="16"/>
  <c r="H225" i="14"/>
  <c r="K291" i="14"/>
  <c r="E296" i="14"/>
  <c r="K296" i="14" s="1"/>
  <c r="K238" i="14"/>
  <c r="K97" i="16"/>
  <c r="K286" i="14"/>
  <c r="K94" i="16"/>
  <c r="I242" i="14"/>
  <c r="I287" i="14"/>
  <c r="K239" i="16"/>
  <c r="K287" i="16"/>
  <c r="I287" i="16"/>
  <c r="K162" i="16"/>
  <c r="H238" i="14"/>
  <c r="I92" i="14"/>
  <c r="K96" i="16"/>
  <c r="I20" i="14"/>
  <c r="D19" i="14"/>
  <c r="K16" i="14"/>
  <c r="D15" i="14"/>
  <c r="K225" i="14"/>
  <c r="J206" i="14"/>
  <c r="I16" i="14"/>
  <c r="K20" i="14"/>
  <c r="I58" i="14"/>
  <c r="K58" i="14"/>
  <c r="H242" i="14" l="1"/>
  <c r="J242" i="14" s="1"/>
  <c r="I296" i="14"/>
  <c r="I297" i="14" s="1"/>
  <c r="J297" i="14" s="1"/>
  <c r="I286" i="14"/>
  <c r="I288" i="14"/>
  <c r="J288" i="14" s="1"/>
  <c r="K92" i="14"/>
  <c r="K286" i="16"/>
  <c r="I286" i="16"/>
  <c r="I288" i="16" s="1"/>
  <c r="J288" i="16" s="1"/>
  <c r="K19" i="14"/>
  <c r="H19" i="14"/>
  <c r="K15" i="14"/>
  <c r="H15" i="14"/>
  <c r="I105" i="14"/>
  <c r="H105" i="14" l="1"/>
  <c r="H323" i="14" s="1"/>
  <c r="I323" i="14"/>
  <c r="J44" i="12"/>
  <c r="D236" i="16" s="1"/>
  <c r="J45" i="12"/>
  <c r="J41" i="12" l="1"/>
  <c r="D238" i="16" s="1"/>
  <c r="D235" i="16"/>
  <c r="H236" i="16"/>
  <c r="E236" i="16"/>
  <c r="I236" i="16" s="1"/>
  <c r="J105" i="14"/>
  <c r="H324" i="14"/>
  <c r="H325" i="14" s="1"/>
  <c r="H326" i="14" s="1"/>
  <c r="K236" i="16" l="1"/>
  <c r="E235" i="16"/>
  <c r="I235" i="16" s="1"/>
  <c r="H235" i="16"/>
  <c r="E238" i="16"/>
  <c r="I238" i="16" s="1"/>
  <c r="H238" i="16"/>
  <c r="K238" i="16" l="1"/>
  <c r="K235" i="16"/>
  <c r="D78" i="16"/>
  <c r="H78" i="16" s="1"/>
  <c r="D77" i="16"/>
  <c r="H77" i="16" s="1"/>
  <c r="D76" i="16"/>
  <c r="K76" i="16" s="1"/>
  <c r="K78" i="16" l="1"/>
  <c r="K77" i="16"/>
  <c r="H76" i="16"/>
  <c r="J37" i="12"/>
  <c r="E18" i="16"/>
  <c r="D17" i="16" s="1"/>
  <c r="E26" i="16"/>
  <c r="I26" i="16" s="1"/>
  <c r="E28" i="16"/>
  <c r="I28" i="16" s="1"/>
  <c r="E20" i="16"/>
  <c r="I20" i="16" s="1"/>
  <c r="E22" i="16"/>
  <c r="D21" i="16" s="1"/>
  <c r="E24" i="16"/>
  <c r="D23" i="16" s="1"/>
  <c r="J38" i="12" l="1"/>
  <c r="D228" i="16" s="1"/>
  <c r="E228" i="16" s="1"/>
  <c r="I228" i="16" s="1"/>
  <c r="E92" i="16"/>
  <c r="D19" i="16"/>
  <c r="E16" i="16"/>
  <c r="D15" i="16" s="1"/>
  <c r="E291" i="16"/>
  <c r="D225" i="16"/>
  <c r="K20" i="16"/>
  <c r="H17" i="16"/>
  <c r="K17" i="16"/>
  <c r="I18" i="16"/>
  <c r="D25" i="16"/>
  <c r="K26" i="16"/>
  <c r="K18" i="16"/>
  <c r="K28" i="16"/>
  <c r="D27" i="16"/>
  <c r="H19" i="16" l="1"/>
  <c r="K19" i="16"/>
  <c r="H228" i="16"/>
  <c r="K92" i="16"/>
  <c r="I92" i="16"/>
  <c r="K16" i="16"/>
  <c r="I16" i="16"/>
  <c r="E296" i="16"/>
  <c r="K291" i="16"/>
  <c r="I291" i="16"/>
  <c r="I293" i="16" s="1"/>
  <c r="J293" i="16" s="1"/>
  <c r="K228" i="16"/>
  <c r="H225" i="16"/>
  <c r="E225" i="16"/>
  <c r="H15" i="16"/>
  <c r="K15" i="16"/>
  <c r="H25" i="16"/>
  <c r="K25" i="16"/>
  <c r="H27" i="16"/>
  <c r="K27" i="16"/>
  <c r="H242" i="16" l="1"/>
  <c r="I105" i="16"/>
  <c r="I296" i="16"/>
  <c r="I297" i="16" s="1"/>
  <c r="J297" i="16" s="1"/>
  <c r="K296" i="16"/>
  <c r="I225" i="16"/>
  <c r="I242" i="16" s="1"/>
  <c r="K225" i="16"/>
  <c r="H105" i="16"/>
  <c r="I323" i="16" l="1"/>
  <c r="J242" i="16"/>
  <c r="H323" i="16"/>
  <c r="J105" i="16"/>
  <c r="H324" i="16" l="1"/>
  <c r="H325" i="16" s="1"/>
  <c r="H326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<sst xmlns="http://schemas.openxmlformats.org/spreadsheetml/2006/main" count="3137" uniqueCount="869">
  <si>
    <t>DISTRIBUSI - SUBFEEEDER</t>
  </si>
  <si>
    <t xml:space="preserve">AS PLAN </t>
  </si>
  <si>
    <t>BOQ GPON FTTH FOR OPTICAL DISTRIBUTION NETWORK (ODN)</t>
  </si>
  <si>
    <t>OLT Name</t>
  </si>
  <si>
    <t>PT. EKA MAS REPUBLIK
ODN, OSP, Aktivasi, Instalasi, Integrasi, Testing &amp; Dokumentasi</t>
  </si>
  <si>
    <t>Cluster</t>
  </si>
  <si>
    <t>PROJECT ROLL OUT 2024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</si>
  <si>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</si>
  <si>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</si>
  <si>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</si>
  <si>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</si>
  <si>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</si>
  <si>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</si>
  <si>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</si>
  <si>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</si>
  <si>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</si>
  <si>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</si>
  <si>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</si>
  <si>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</si>
  <si>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</si>
  <si>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</si>
  <si>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</si>
  <si>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</si>
  <si>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</si>
  <si>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</si>
  <si>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&amp; Persiapan (Kesehatan dan Keselamatan Kerja)</t>
  </si>
  <si>
    <t>ls</t>
  </si>
  <si>
    <t>PENGAMANAN &amp; PERSIAPAN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</si>
  <si>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</si>
  <si>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</si>
  <si>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</si>
  <si>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</si>
  <si>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</si>
  <si>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</si>
  <si>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</si>
  <si>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</si>
  <si>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</si>
  <si>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</si>
  <si>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</si>
  <si>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</si>
  <si>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</si>
  <si>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</si>
  <si>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</si>
  <si>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</si>
  <si>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</si>
  <si>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</si>
  <si>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</si>
  <si>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</si>
  <si>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</si>
  <si>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</si>
  <si>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</si>
  <si>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</si>
  <si>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</si>
  <si>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</si>
  <si>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</si>
  <si>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</si>
  <si>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</si>
  <si>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</si>
  <si>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</si>
  <si>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</si>
  <si>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</si>
  <si>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</si>
  <si>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500002088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</si>
  <si>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</si>
  <si>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</si>
  <si>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</si>
  <si>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</si>
  <si>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500002089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</si>
  <si>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</si>
  <si>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</si>
  <si>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</si>
  <si>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</si>
  <si>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</si>
  <si>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</si>
  <si>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</si>
  <si>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</si>
  <si>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</si>
  <si>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200001040</t>
  </si>
  <si>
    <t>72 CORES CAPACITY POLE MOUNTED FDT</t>
  </si>
  <si>
    <t>Instal 72 cores capacity pole mounted FDT</t>
  </si>
  <si>
    <t>500002054</t>
  </si>
  <si>
    <t>INSTAL 72 CORES CAPACITY POLE FDT</t>
  </si>
  <si>
    <t>96 cores capacity pole mounted FDT</t>
  </si>
  <si>
    <t>200001041</t>
  </si>
  <si>
    <t>96 CORES CAPACITY POLE MOUNTED FDT</t>
  </si>
  <si>
    <t>Instal 96 cores capacity pole mounted FDT</t>
  </si>
  <si>
    <t>500002055</t>
  </si>
  <si>
    <t>INSTAL 96 CORES CAPACITY POLE FDT</t>
  </si>
  <si>
    <t>144 cores capacity ground mounted FDT</t>
  </si>
  <si>
    <t>200001042</t>
  </si>
  <si>
    <t>144 CORES CAPACITY GROUND MOUNTED FDT</t>
  </si>
  <si>
    <t>Instal 144 cores capacity pole mounted FDT</t>
  </si>
  <si>
    <t>500002062</t>
  </si>
  <si>
    <t>INSTAL 144 CORES CAPACITY POLE FDT</t>
  </si>
  <si>
    <t>288 cores capacity ground mounted FDT</t>
  </si>
  <si>
    <t>200001043</t>
  </si>
  <si>
    <t>288 CORES CAPACITY GROUND MOUNTED FDT</t>
  </si>
  <si>
    <t>Instal 288 cores capacity pole mounted FDT</t>
  </si>
  <si>
    <t>500002073</t>
  </si>
  <si>
    <t>INSTAL 288 CORES CAPACITY POLE FDT</t>
  </si>
  <si>
    <t>576 cores capacity ground mounted FDT</t>
  </si>
  <si>
    <t>200001044</t>
  </si>
  <si>
    <t>576 CORES CAPACITY GROUND MOUNTED FDT</t>
  </si>
  <si>
    <t>Instal 576 cores capacity pole mounted FDT</t>
  </si>
  <si>
    <t>500002084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</si>
  <si>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</si>
  <si>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</si>
  <si>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</si>
  <si>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</si>
  <si>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</si>
  <si>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</si>
  <si>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</si>
  <si>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</si>
  <si>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</si>
  <si>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</si>
  <si>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</si>
  <si>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200001045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</si>
  <si>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</si>
  <si>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</si>
  <si>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</si>
  <si>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</si>
  <si>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</si>
  <si>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</si>
  <si>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</si>
  <si>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family val="2"/>
        <scheme val="minor"/>
      </rP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</si>
  <si>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</si>
  <si>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</si>
  <si>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</si>
  <si>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</si>
  <si>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</si>
  <si>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</si>
  <si>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</si>
  <si>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</si>
  <si>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</si>
  <si>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</si>
  <si>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</si>
  <si>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</si>
  <si>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</si>
  <si>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</si>
  <si>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</si>
  <si>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</si>
  <si>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</si>
  <si>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</si>
  <si>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</si>
  <si>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</si>
  <si>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</si>
  <si>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</si>
  <si>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</si>
  <si>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</si>
  <si>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</si>
  <si>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</si>
  <si>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</si>
  <si>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</si>
  <si>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</si>
  <si>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</si>
  <si>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</si>
  <si>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</si>
  <si>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</si>
  <si>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</si>
  <si>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</si>
  <si>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</si>
  <si>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</si>
  <si>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</si>
  <si>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</si>
  <si>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</si>
  <si>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</si>
  <si>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</si>
  <si>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</si>
  <si>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</si>
  <si>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</si>
  <si>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</si>
  <si>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200001009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</si>
  <si>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</si>
  <si>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</si>
  <si>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</si>
  <si>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</si>
  <si>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</si>
  <si>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</si>
  <si>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</si>
  <si>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</si>
  <si>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</si>
  <si>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</si>
  <si>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</si>
  <si>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</si>
  <si>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</si>
  <si>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</si>
  <si>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</si>
  <si>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</si>
  <si>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</si>
  <si>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</si>
  <si>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</si>
  <si>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</si>
  <si>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</si>
  <si>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</si>
  <si>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</si>
  <si>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</si>
  <si>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</si>
  <si>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200001028</t>
  </si>
  <si>
    <t>RIVER CROSSING BY SELF SUPPORT</t>
  </si>
  <si>
    <t>River crossing by attach to existing bridge</t>
  </si>
  <si>
    <t>200001011</t>
  </si>
  <si>
    <t>RIVER CROSSING BY ATTACH TO BRIDGE</t>
  </si>
  <si>
    <t>River crossing by 7m single pole hanging bridge</t>
  </si>
  <si>
    <t>500002092</t>
  </si>
  <si>
    <t>INSTAL RIVER CROSSING BY 7M SINGLE POLE</t>
  </si>
  <si>
    <t>River crossing by 9m single pole hanging bridge</t>
  </si>
  <si>
    <t>500002093</t>
  </si>
  <si>
    <t>INSTAL RIVER CROSSING BY 9M SINGLE POLE</t>
  </si>
  <si>
    <t>River crossing by 9m double pole hanging bridge</t>
  </si>
  <si>
    <t>500002094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</si>
  <si>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</si>
  <si>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</si>
  <si>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</si>
  <si>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</si>
  <si>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</si>
  <si>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</si>
  <si>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</si>
  <si>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</si>
  <si>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</si>
  <si>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</si>
  <si>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500002117</t>
  </si>
  <si>
    <t>BORING MANUAL 150CM DEPTH</t>
  </si>
  <si>
    <t>Boring manual 2 Sub Duct 150cm depth</t>
  </si>
  <si>
    <t>500002118</t>
  </si>
  <si>
    <t>BORING MANUAL 2 SUB DUCT 150CM DEPTH</t>
  </si>
  <si>
    <t>Boring manual 3 Sub Duct 150cm depth</t>
  </si>
  <si>
    <t>500002119</t>
  </si>
  <si>
    <t>BORING MANUAL 3 SUB DUCT 150CM DEPTH</t>
  </si>
  <si>
    <t>Boring manual PVC/HDPE 4" 150cm depth</t>
  </si>
  <si>
    <t>500002120</t>
  </si>
  <si>
    <t>BORING MANUAL PVC/HDPE 4" 150CM DEPTH</t>
  </si>
  <si>
    <t>Boring directional jalan raya</t>
  </si>
  <si>
    <t>PENGERJAAN BORING CROSSING JALAN RAYA</t>
  </si>
  <si>
    <t>Boring directional jalan tol</t>
  </si>
  <si>
    <t>500002121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</si>
  <si>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</si>
  <si>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</si>
  <si>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</si>
  <si>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</si>
  <si>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</si>
  <si>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</si>
  <si>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</si>
  <si>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</si>
  <si>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</si>
  <si>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</si>
  <si>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</si>
  <si>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</si>
  <si>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</si>
  <si>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</si>
  <si>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</si>
  <si>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</si>
  <si>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</si>
  <si>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</si>
  <si>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</si>
  <si>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</si>
  <si>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</si>
  <si>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</si>
  <si>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</si>
  <si>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</si>
  <si>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</si>
  <si>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</si>
  <si>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family val="2"/>
        <scheme val="minor"/>
      </rPr>
      <t>meter</t>
    </r>
    <r>
      <rPr>
        <vertAlign val="superscript"/>
        <sz val="10"/>
        <rFont val="Calibri"/>
        <family val="2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</si>
  <si>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</si>
  <si>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</si>
  <si>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</si>
  <si>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</si>
  <si>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</si>
  <si>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</si>
  <si>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</si>
  <si>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</si>
  <si>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</si>
  <si>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</si>
  <si>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</si>
  <si>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</si>
  <si>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</si>
  <si>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200000994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</si>
  <si>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</si>
  <si>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</si>
  <si>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</si>
  <si>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</si>
  <si>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</si>
  <si>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</si>
  <si>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200000282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</si>
  <si>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</si>
  <si>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</si>
  <si>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</si>
  <si>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</si>
  <si>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</si>
  <si>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</si>
  <si>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</si>
  <si>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</si>
  <si>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200000292</t>
  </si>
  <si>
    <t>GAVANIZE PIPE DIAMETER 3INCH</t>
  </si>
  <si>
    <t xml:space="preserve">Galvanize pipe (diameter 4 inch) </t>
  </si>
  <si>
    <t>200000742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</si>
  <si>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</si>
  <si>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</si>
  <si>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</si>
  <si>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</si>
  <si>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</si>
  <si>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</si>
  <si>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</si>
  <si>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</si>
  <si>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</si>
  <si>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</si>
  <si>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</si>
  <si>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</si>
  <si>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200001022</t>
  </si>
  <si>
    <t>CABLE DUCT TC-2</t>
  </si>
  <si>
    <t>Cable Duct  TC-3</t>
  </si>
  <si>
    <t>200001035</t>
  </si>
  <si>
    <t>CABLE DUCT  TC-3</t>
  </si>
  <si>
    <t>Cable Duct  TC-4</t>
  </si>
  <si>
    <t>200001003</t>
  </si>
  <si>
    <t>CABLE DUCT  TC-4</t>
  </si>
  <si>
    <t>Cable Duct  TC-5</t>
  </si>
  <si>
    <t>200001023</t>
  </si>
  <si>
    <t>CABLE DUCT  TC-5</t>
  </si>
  <si>
    <t>Cable Duct  TC-6</t>
  </si>
  <si>
    <t>200001000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</si>
  <si>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</si>
  <si>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</si>
  <si>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</si>
  <si>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</si>
  <si>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</si>
  <si>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</si>
  <si>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</si>
  <si>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200001008</t>
  </si>
  <si>
    <t>CONDUIT PIPE 3/4 INCH</t>
  </si>
  <si>
    <t>Flexible 3/4 inch</t>
  </si>
  <si>
    <t>200001018</t>
  </si>
  <si>
    <t>FLEXIBLE 3/4 INCH</t>
  </si>
  <si>
    <t>Shock Conduit Pipe 3/4 inch</t>
  </si>
  <si>
    <t>200000993</t>
  </si>
  <si>
    <t>SHOCK CONDUIT PIPE 3/4 INCH</t>
  </si>
  <si>
    <t>Clamp for PVC Conduit support 3/4 inch</t>
  </si>
  <si>
    <t>200001021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</si>
  <si>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</si>
  <si>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</si>
  <si>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</si>
  <si>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</si>
  <si>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200000991</t>
  </si>
  <si>
    <t>PVC DOUBLE ELBOW 1.25"</t>
  </si>
  <si>
    <t>PVC Double Elbow 1.5"</t>
  </si>
  <si>
    <t>200000997</t>
  </si>
  <si>
    <t>PVC DOUBLE ELBOW 1.5"</t>
  </si>
  <si>
    <t>Socket (D-DS) 1 inch</t>
  </si>
  <si>
    <t>200001027</t>
  </si>
  <si>
    <t>SOCKET (D-DS) 1 INCH</t>
  </si>
  <si>
    <t>Large Radius Tee (D-LT) 2 x 1 inch</t>
  </si>
  <si>
    <t>200001006</t>
  </si>
  <si>
    <t>LARGE RADIUS TEE(D-LT) 2 X 1 INCH</t>
  </si>
  <si>
    <t>Elbow (D-DL) 1 inch</t>
  </si>
  <si>
    <t>200001014</t>
  </si>
  <si>
    <t>ELBOW (D-DL) 1 INCH</t>
  </si>
  <si>
    <t>Dop 1 inch</t>
  </si>
  <si>
    <t>200000999</t>
  </si>
  <si>
    <t>DOP 1 INCH</t>
  </si>
  <si>
    <t>Tambang pancing/Roding rope</t>
  </si>
  <si>
    <t>200000267</t>
  </si>
  <si>
    <t>TAMBANG PANCING/RODING ROPE</t>
  </si>
  <si>
    <t>Hand hole include cover, cable hanger and accessories</t>
  </si>
  <si>
    <t>Precast Hand hole for FDT : 80 x 80 x 130 cm</t>
  </si>
  <si>
    <t>200000978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</si>
  <si>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</si>
  <si>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</si>
  <si>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</si>
  <si>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</si>
  <si>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</si>
  <si>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</si>
  <si>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</si>
  <si>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</si>
  <si>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200001032</t>
  </si>
  <si>
    <t>PRECAST HAND HOLE FAT : 40 X 40 X 60 CM</t>
  </si>
  <si>
    <t>Instal Precast Hand hole for FAT : 40 x 40 x 60 cm</t>
  </si>
  <si>
    <t>500002060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</si>
  <si>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</si>
  <si>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</si>
  <si>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</si>
  <si>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</si>
  <si>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</si>
  <si>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500001316</t>
  </si>
  <si>
    <t>PEMBUATAN HANDHOLE 40X40X60 cm3 DG 1 TUT</t>
  </si>
  <si>
    <t>Precast Hand hole for pulling pit : 20x20x20 cm</t>
  </si>
  <si>
    <t>200000992</t>
  </si>
  <si>
    <t>PRECAST HAND HOLE PIT : 20X20X20 CM</t>
  </si>
  <si>
    <t>Instal Precast Hand hole for pulling pit : 20x20x20 cm</t>
  </si>
  <si>
    <t>500002061</t>
  </si>
  <si>
    <t>INSTAL PRECAST HH PIT : 20X20X20 CM</t>
  </si>
  <si>
    <t>Concrete Hand hole for pulling pit : 20x20x20 cm</t>
  </si>
  <si>
    <t>200001013</t>
  </si>
  <si>
    <t>CONCRETE HAND HOLE  PIT : 20X20X20 CM</t>
  </si>
  <si>
    <t>Instal Concrete Hand hole for pulling pit : 20x20x20 cm</t>
  </si>
  <si>
    <t>500002063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</si>
  <si>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</si>
  <si>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</si>
  <si>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</si>
  <si>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</si>
  <si>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</si>
  <si>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</si>
  <si>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200000977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</si>
  <si>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</si>
  <si>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</si>
  <si>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</si>
  <si>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</si>
  <si>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</si>
  <si>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</si>
  <si>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</si>
  <si>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</si>
  <si>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</si>
  <si>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</si>
  <si>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</si>
  <si>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200000995</t>
  </si>
  <si>
    <t>CABLE LADDER TRAY INCLUDE HANGER</t>
  </si>
  <si>
    <t>Bobok dinding per titik</t>
  </si>
  <si>
    <t>BOBOKAN TEMBOK</t>
  </si>
  <si>
    <t>Bobok ceiling per titik</t>
  </si>
  <si>
    <t>500002067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</si>
  <si>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</si>
  <si>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</si>
  <si>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</si>
  <si>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</si>
  <si>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</si>
  <si>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</si>
  <si>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</si>
  <si>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</si>
  <si>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</si>
  <si>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</si>
  <si>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</si>
  <si>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</si>
  <si>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</si>
  <si>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</si>
  <si>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</si>
  <si>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</si>
  <si>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</si>
  <si>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</si>
  <si>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</si>
  <si>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</si>
  <si>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</si>
  <si>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</si>
  <si>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</si>
  <si>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</si>
  <si>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</si>
  <si>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</si>
  <si>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</si>
  <si>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</si>
  <si>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</si>
  <si>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</si>
  <si>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</si>
  <si>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</si>
  <si>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</si>
  <si>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</si>
  <si>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</si>
  <si>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</si>
  <si>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</si>
  <si>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</si>
  <si>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</si>
  <si>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500001293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</si>
  <si>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</si>
  <si>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</si>
  <si>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</si>
  <si>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</si>
  <si>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</si>
  <si>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</si>
  <si>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</si>
  <si>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</si>
  <si>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</si>
  <si>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</si>
  <si>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</si>
  <si>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200000979</t>
  </si>
  <si>
    <t>TIANG SOKONG (TIANG 9M)</t>
  </si>
  <si>
    <t>Tiang sokong (tiang 7m)</t>
  </si>
  <si>
    <t>200001007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</si>
  <si>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</si>
  <si>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</si>
  <si>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</si>
  <si>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</si>
  <si>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</si>
  <si>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</si>
  <si>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</si>
  <si>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</si>
  <si>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</si>
  <si>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</si>
  <si>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</si>
  <si>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</si>
  <si>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</si>
  <si>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</si>
  <si>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</si>
  <si>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</si>
  <si>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</si>
  <si>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</si>
  <si>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</si>
  <si>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</si>
  <si>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</si>
  <si>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</si>
  <si>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</si>
  <si>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</si>
  <si>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</si>
  <si>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</si>
  <si>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</si>
  <si>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</si>
  <si>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</si>
  <si>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</si>
  <si>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</si>
  <si>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</si>
  <si>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</si>
  <si>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</si>
  <si>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</si>
  <si>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</si>
  <si>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</si>
  <si>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200001001</t>
  </si>
  <si>
    <t>STANDING CLOSED RACK 19" GLASS PANEL</t>
  </si>
  <si>
    <t>Instal Standing Closed Rack 19" with Glass Panel</t>
  </si>
  <si>
    <t>500002069</t>
  </si>
  <si>
    <t>INSTAL STANDING CLOSED RACK 19" GLASS</t>
  </si>
  <si>
    <t xml:space="preserve">Standing Open Rack 19" </t>
  </si>
  <si>
    <t>200001005</t>
  </si>
  <si>
    <t>STANDING OPEN RACK 19"</t>
  </si>
  <si>
    <t xml:space="preserve">Instal Standing Open Rack 19" </t>
  </si>
  <si>
    <t>500002070</t>
  </si>
  <si>
    <t>INSTAL STANDING OPEN RACK 19"</t>
  </si>
  <si>
    <t>Wall Mount Closed Rack Standard 19" with Glass Panel 12 U (450 mm Depth)</t>
  </si>
  <si>
    <t>200001036</t>
  </si>
  <si>
    <t>WALL MOUNT CLOSED RACK 19" GLASS PANEL</t>
  </si>
  <si>
    <t>Instal Wall Mount Closed Rack Standard 19" with Glass Panel 12 U (450 mm Depth)</t>
  </si>
  <si>
    <t>500002071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</si>
  <si>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</si>
  <si>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</si>
  <si>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</si>
  <si>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200001002</t>
  </si>
  <si>
    <t>ODF (SC/APC) - 384 PORTS INDOOR</t>
  </si>
  <si>
    <t>Instal Optical Distribution Frame(SC/APC) - 384 ports (ODF)</t>
  </si>
  <si>
    <t>500002072</t>
  </si>
  <si>
    <t>INSTAL ODF (SC/APC) - 384 PORTS INDOOR</t>
  </si>
  <si>
    <t>Optical Distribution Frame(SC/APC) - 576 ports (ODF)</t>
  </si>
  <si>
    <t>200001010</t>
  </si>
  <si>
    <t>ODF (SC/APC) - 576 PORTS INDOOR</t>
  </si>
  <si>
    <t>Instal Optical Distribution Frame(SC/APC) - 576 ports (ODF)</t>
  </si>
  <si>
    <t>500002074</t>
  </si>
  <si>
    <t>INSTAL ODF (SC/APC) - 576 PORTS INDOOR</t>
  </si>
  <si>
    <t>Optical Distribution Frame(SC/APC) - 720 ports (ODF)</t>
  </si>
  <si>
    <t>200001020</t>
  </si>
  <si>
    <t>ODF (SC/APC) - 720 PORTS INDOOR</t>
  </si>
  <si>
    <t>Instal Optical Distribution Frame(SC/APC) - 720 ports (ODF)</t>
  </si>
  <si>
    <t>500002075</t>
  </si>
  <si>
    <t>INSTAL ODF (SC/APC) - 720 PORTS INDOOR</t>
  </si>
  <si>
    <t>Optical Distribution Frame(SC/APC) - 864 ports (ODF)</t>
  </si>
  <si>
    <t>200001037</t>
  </si>
  <si>
    <t>ODF (SC/APC) - 864 PORTS INDOOR</t>
  </si>
  <si>
    <t>Instal Optical Distribution Frame(SC/APC) - 864 ports (ODF)</t>
  </si>
  <si>
    <t>500002076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</si>
  <si>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</si>
  <si>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</si>
  <si>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</si>
  <si>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200001029</t>
  </si>
  <si>
    <t>ODF (SC/APC) - 48 PORTS OUTDOOR</t>
  </si>
  <si>
    <t>Instal Optical Distribution Frame(SC/APC) - 48 ports (ODF)</t>
  </si>
  <si>
    <t>500002077</t>
  </si>
  <si>
    <t>INSTAL ODF (SC/APC) - 48 PORTS OUTDOOR</t>
  </si>
  <si>
    <t>Optical Distribution Frame(SC/APC) - 168 ports (ODF)</t>
  </si>
  <si>
    <t>200001026</t>
  </si>
  <si>
    <t>ODF (SC/APC) - 168 PORTS OUTDOOR</t>
  </si>
  <si>
    <t>Instal Optical Distribution Frame(SC/APC) - 168 ports (ODF)</t>
  </si>
  <si>
    <t>500002078</t>
  </si>
  <si>
    <t>INSTAL ODF (SC/APC) - 168 PORTS OUTDOOR</t>
  </si>
  <si>
    <t>Optical Distribution Frame(SC/APC) - 288 ports (ODF)</t>
  </si>
  <si>
    <t>200000990</t>
  </si>
  <si>
    <t>ODF (SC/APC) - 288 PORTS OUTDOOR</t>
  </si>
  <si>
    <t>Instal Optical Distribution Frame(SC/APC) - 288 ports (ODF)</t>
  </si>
  <si>
    <t>500002079</t>
  </si>
  <si>
    <t>INSTAL ODF (SC/APC) - 288 PORTS OUTDOOR</t>
  </si>
  <si>
    <t>200001019</t>
  </si>
  <si>
    <t>ODF (SC/APC) - 576 PORTS OUTDOOR</t>
  </si>
  <si>
    <t>500002080</t>
  </si>
  <si>
    <t>INSTAL ODF (SC/APC) - 576 PORTS OUTDOOR</t>
  </si>
  <si>
    <t>Optical Termination module include pigtail inside</t>
  </si>
  <si>
    <t>12 core capacity</t>
  </si>
  <si>
    <t>100000187</t>
  </si>
  <si>
    <t>OTB 12PORT SC/PC</t>
  </si>
  <si>
    <t>24 core capacity</t>
  </si>
  <si>
    <t>100000188</t>
  </si>
  <si>
    <t>OTB 24PORT SC/PC</t>
  </si>
  <si>
    <t>48 core capacity</t>
  </si>
  <si>
    <t>100000189</t>
  </si>
  <si>
    <t>OTB 48PORT SC/PC</t>
  </si>
  <si>
    <t>72 core capacity</t>
  </si>
  <si>
    <t>100000820</t>
  </si>
  <si>
    <t>OTB 72 CORE IN PIGTAIL FC /PC &amp; SC/PC</t>
  </si>
  <si>
    <t>96 core capacity</t>
  </si>
  <si>
    <t>100000821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</si>
  <si>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</si>
  <si>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</si>
  <si>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</si>
  <si>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</si>
  <si>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</si>
  <si>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200001025</t>
  </si>
  <si>
    <t>PATCHCORD SC/APC - SC/UPC -3 M</t>
  </si>
  <si>
    <t xml:space="preserve">Patchcord SM G.657A2 SC/APC - SC/APC - 10 m </t>
  </si>
  <si>
    <t>200001024</t>
  </si>
  <si>
    <t>PATCHCORD  SC/APC - SC/APC -10 M</t>
  </si>
  <si>
    <t xml:space="preserve">Patchcord SM G.657A2 SC/APC - SC/APC - 3 m </t>
  </si>
  <si>
    <t>200000251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</si>
  <si>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</si>
  <si>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</si>
  <si>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</si>
  <si>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</si>
  <si>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</si>
  <si>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</si>
  <si>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500002085</t>
  </si>
  <si>
    <t>TESTCOMM OTDR &amp; OPM OLT - FAT</t>
  </si>
  <si>
    <t>b</t>
  </si>
  <si>
    <t>Testcomm OTDR &amp; OPM ODF - FDT</t>
  </si>
  <si>
    <t>500002106</t>
  </si>
  <si>
    <t>TESTCOMM OTDR &amp; OPM ODF - FDT</t>
  </si>
  <si>
    <t>c</t>
  </si>
  <si>
    <t>Testcomm OTDR &amp; OPM FDT - FAT</t>
  </si>
  <si>
    <t>500002107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</si>
  <si>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</si>
  <si>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</si>
  <si>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</si>
  <si>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</si>
  <si>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</si>
  <si>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</si>
  <si>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</si>
  <si>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</si>
  <si>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</si>
  <si>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</si>
  <si>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</si>
  <si>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</si>
  <si>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</si>
  <si>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</si>
  <si>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</si>
  <si>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</si>
  <si>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</si>
  <si>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</si>
  <si>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</si>
  <si>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</si>
  <si>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</si>
  <si>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</si>
  <si>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</si>
  <si>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</si>
  <si>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</si>
  <si>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</si>
  <si>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</si>
  <si>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500002110</t>
  </si>
  <si>
    <t>FUSION SPLICER</t>
  </si>
  <si>
    <t>Sub Total Tools and Test Equipment</t>
  </si>
  <si>
    <t>Training - (Optional)</t>
  </si>
  <si>
    <t>FTTH Local Training</t>
  </si>
  <si>
    <t>person</t>
  </si>
  <si>
    <t>500002111</t>
  </si>
  <si>
    <t>FTTH LOCAL TRAINING</t>
  </si>
  <si>
    <t xml:space="preserve">FTTH Training Certified by FTTH Council </t>
  </si>
  <si>
    <t>500002112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</si>
  <si>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</si>
  <si>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</si>
  <si>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</si>
  <si>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</si>
  <si>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</si>
  <si>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500002086</t>
  </si>
  <si>
    <t>JAMINAN PERBAIKAN BERUPA BANK GARANSI</t>
  </si>
  <si>
    <t>Jaminan Pemeliharaan Berupa Bank Garansi</t>
  </si>
  <si>
    <t>lot</t>
  </si>
  <si>
    <t>500002087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</si>
  <si>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</si>
  <si>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</si>
  <si>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</si>
  <si>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</si>
  <si>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</si>
  <si>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</si>
  <si>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</si>
  <si>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</si>
  <si>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</si>
  <si>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</si>
  <si>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</si>
  <si>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Qty</t>
  </si>
  <si>
    <t>Units</t>
  </si>
  <si>
    <t>Total Rute</t>
  </si>
  <si>
    <t>Line A - 24C/2T</t>
  </si>
  <si>
    <t>m</t>
  </si>
  <si>
    <t>qty based on design</t>
  </si>
  <si>
    <t>Total Route to FDT</t>
  </si>
  <si>
    <t>Line B - 24C/2T</t>
  </si>
  <si>
    <t>Line C - 24C/2T</t>
  </si>
  <si>
    <t>Line D - 24C/2T</t>
  </si>
  <si>
    <t>144C/12T</t>
  </si>
  <si>
    <t>Line A - 36C/3T</t>
  </si>
  <si>
    <t>288C/24T</t>
  </si>
  <si>
    <t>Line B - 36C/3T</t>
  </si>
  <si>
    <t>auto based on formula</t>
  </si>
  <si>
    <t>Line C - 36C/3T</t>
  </si>
  <si>
    <t>Line D - 36C/3T</t>
  </si>
  <si>
    <t>Line A - 48C/4T</t>
  </si>
  <si>
    <t>Line B - 48C/4T</t>
  </si>
  <si>
    <t>Line C - 48C/4T</t>
  </si>
  <si>
    <t>Total Coil / Slack</t>
  </si>
  <si>
    <t>Line D - 48C/4T</t>
  </si>
  <si>
    <t>auto (based on formula)</t>
  </si>
  <si>
    <t>Rute Strand Wire</t>
  </si>
  <si>
    <t>Closure</t>
  </si>
  <si>
    <t>units</t>
  </si>
  <si>
    <t>Total Panjang Cable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</si>
  <si>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</si>
  <si>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</si>
  <si>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</si>
  <si>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</si>
  <si>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</si>
  <si>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</si>
  <si>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</si>
  <si>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</si>
  <si>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</si>
  <si>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</si>
  <si>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7.Clamps Dead end Fittings/clamp buaya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</si>
  <si>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</si>
  <si>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</si>
  <si>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</si>
  <si>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</si>
  <si>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</si>
  <si>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</si>
  <si>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</si>
  <si>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9. Steel clamp</t>
  </si>
  <si>
    <t>Total Slack di FDT</t>
  </si>
  <si>
    <t>slack</t>
  </si>
  <si>
    <t>Strand Wire</t>
  </si>
  <si>
    <t>Pole</t>
  </si>
  <si>
    <t>New Pole 7m 4"</t>
  </si>
  <si>
    <t>Total Slack di FAT</t>
  </si>
  <si>
    <t>New Pole 7m 5"</t>
  </si>
  <si>
    <t>New Pole 9m 4"</t>
  </si>
  <si>
    <t>New Pole 9m 5"</t>
  </si>
  <si>
    <t>Label</t>
  </si>
  <si>
    <t>Existing Pole LN</t>
  </si>
  <si>
    <t>Panjang Slack</t>
  </si>
  <si>
    <t>Existing Pole MTI</t>
  </si>
  <si>
    <t>Label Cable</t>
  </si>
  <si>
    <t>Existing Pole MR</t>
  </si>
  <si>
    <t>Label FAT include QR code</t>
  </si>
  <si>
    <t>Lable Pole</t>
  </si>
  <si>
    <t>7m 5" (for Distribution Pole / FDT Pole)</t>
  </si>
  <si>
    <t>Bahan pondasi tiang</t>
  </si>
  <si>
    <t>Trenching</t>
  </si>
  <si>
    <t>9m 5" (for crossing roads)</t>
  </si>
  <si>
    <t>Boring manual 150cm</t>
  </si>
  <si>
    <t>9m 4" (for crossing roads)</t>
  </si>
  <si>
    <t>Boring manual Crossing</t>
  </si>
  <si>
    <t>Subduct</t>
  </si>
  <si>
    <t>qty based on design UG, sesuai rute cable sub feeder</t>
  </si>
  <si>
    <t>Toleransi panjang Sub Duct 40/34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</si>
  <si>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</si>
  <si>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</si>
  <si>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</si>
  <si>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</si>
  <si>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</si>
  <si>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</si>
  <si>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</si>
  <si>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</si>
  <si>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</si>
  <si>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</si>
  <si>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Survey and Design</t>
  </si>
  <si>
    <t>Total rute survey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</si>
  <si>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</si>
  <si>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</si>
  <si>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</si>
  <si>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</si>
  <si>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</si>
  <si>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</si>
  <si>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</si>
  <si>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</si>
  <si>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</si>
  <si>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</si>
  <si>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</si>
  <si>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 xml:space="preserve">Total FDT </t>
  </si>
  <si>
    <t>36C/3T</t>
  </si>
  <si>
    <t>48C/4T</t>
  </si>
  <si>
    <t>24C/2T</t>
  </si>
  <si>
    <t xml:space="preserve">BoM Cluster - </t>
  </si>
  <si>
    <t>ID :</t>
  </si>
  <si>
    <t>Aerial</t>
  </si>
  <si>
    <t>Permit</t>
  </si>
  <si>
    <t>(Permit + PPh  2.65%)</t>
  </si>
  <si>
    <t>Summary PO RT/RW (CLUSTER NAME)</t>
  </si>
  <si>
    <t>XXX</t>
  </si>
  <si>
    <t>7m 4" (for Feeder Pole / FDT Pole)</t>
  </si>
  <si>
    <t>7m 3" (for Distribution Pole/Home Connect)</t>
  </si>
  <si>
    <t>Cable Looping/Tektok</t>
  </si>
  <si>
    <t xml:space="preserve">ID : </t>
  </si>
  <si>
    <t>Responsibility Vendor :</t>
  </si>
  <si>
    <t>96C/8T</t>
  </si>
  <si>
    <t>72C/6T</t>
  </si>
  <si>
    <t>BoM - Main/Hub/Sub Feeder</t>
  </si>
  <si>
    <t>Existing Pole PEMKOT</t>
  </si>
  <si>
    <t>Existing Pole SIMS</t>
  </si>
  <si>
    <t>Existing Pole EMR</t>
  </si>
  <si>
    <t>Splicing Joint Closure MF/HF</t>
  </si>
  <si>
    <t>Splicing Joint Closure SF</t>
  </si>
  <si>
    <t>Panjang Strand Wire + toleransi 5%</t>
  </si>
  <si>
    <t>Total Panjang Kabel to FDT (Slack + toleransi 5%)</t>
  </si>
  <si>
    <t>Fiber Optic Joint Closure Type In-line 288 Core</t>
  </si>
  <si>
    <t>Total Panjang Kabel (Slack + Toleransi 5%)</t>
  </si>
  <si>
    <t>Total Core MF/HF</t>
  </si>
  <si>
    <t>Total Core SF</t>
  </si>
  <si>
    <t>Total Core</t>
  </si>
  <si>
    <t>Existing Pole TELKOM</t>
  </si>
  <si>
    <t>PENGAMANAN PERIZINAN DAN K3 (Cluster Only)</t>
  </si>
  <si>
    <t>Pengamanan Perizinan dan K3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</si>
  <si>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</si>
  <si>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</si>
  <si>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</si>
  <si>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</si>
  <si>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</si>
  <si>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</si>
  <si>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</si>
  <si>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</si>
  <si>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</si>
  <si>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</si>
  <si>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</si>
  <si>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</si>
  <si>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</si>
  <si>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</si>
  <si>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</si>
  <si>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</si>
  <si>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</si>
  <si>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</si>
  <si>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</si>
  <si>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</si>
  <si>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</si>
  <si>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</si>
  <si>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</si>
  <si>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</si>
  <si>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</si>
  <si>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</si>
  <si>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</si>
  <si>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</si>
  <si>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</si>
  <si>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</si>
  <si>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</si>
  <si>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</si>
  <si>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</si>
  <si>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</si>
  <si>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</si>
  <si>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</si>
  <si>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</si>
  <si>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</si>
  <si>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</si>
  <si>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</si>
  <si>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</si>
  <si>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</si>
  <si>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</si>
  <si>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</si>
  <si>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7m 2.5"</t>
  </si>
  <si>
    <t>New Pole 7m 3"</t>
  </si>
  <si>
    <t>New Pole 7m 2.5"</t>
  </si>
  <si>
    <t>Type</t>
  </si>
  <si>
    <t>Percentage</t>
  </si>
  <si>
    <t>Result</t>
  </si>
  <si>
    <t>Vendor Name</t>
  </si>
  <si>
    <t>YOFC International Indonesia</t>
  </si>
  <si>
    <r>
      <rPr>
        <i/>
        <sz val="11"/>
        <color theme="1"/>
        <rFont val="Calibri"/>
        <family val="2"/>
      </rPr>
      <t>←</t>
    </r>
    <r>
      <rPr>
        <i/>
        <sz val="11"/>
        <color theme="1"/>
        <rFont val="Calibri"/>
        <family val="2"/>
        <scheme val="minor"/>
      </rPr>
      <t xml:space="preserve"> Select Dropdown List</t>
    </r>
  </si>
  <si>
    <t>PPh</t>
  </si>
  <si>
    <t>Management Fee</t>
  </si>
  <si>
    <t>Total</t>
  </si>
  <si>
    <t>PT. YOFC INTERNATIONAL INDONESIA</t>
  </si>
  <si>
    <t>Name : FEBRY</t>
  </si>
  <si>
    <t>Date:     /    /2026</t>
  </si>
  <si>
    <t>APD - RANCA PANGGUNG RW 08</t>
  </si>
  <si>
    <t>PT. TKM</t>
  </si>
  <si>
    <t xml:space="preserve">Name : </t>
  </si>
  <si>
    <t>asd</t>
  </si>
  <si>
    <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</si>
</sst>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([$Rp-421]* #,##0.00_);_([$Rp-421]* \(#,##0.00\);_([$Rp-421]* &quot;-&quot;??_);_(@_)"/>
    <numFmt numFmtId="166" formatCode="_([$$-409]* #,##0.00_);_([$$-409]* \(#,##0.00\);_([$$-409]* &quot;-&quot;??_);_(@_)"/>
    <numFmt numFmtId="167" formatCode="_-* #.##0_-;\-* #.##0_-;_-* &quot;-&quot;_-;_-@_-"/>
    <numFmt numFmtId="168" formatCode="_(* #.##0.00_);_(* \(#.##0.00\);_(* &quot;-&quot;??_);_(@_)"/>
    <numFmt numFmtId="169" formatCode="_(* #.##0_);_(* \(#.##0\);_(* &quot;-&quot;_);_(@_)"/>
    <numFmt numFmtId="170" formatCode="_-&quot;£&quot;* #.##0_-;\-&quot;£&quot;* #.##0_-;_-&quot;£&quot;* &quot;-&quot;_-;_-@_-"/>
    <numFmt numFmtId="171" formatCode="[$IDR]\ #,##0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BF1DE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11" fillId="0" borderId="0"/>
    <xf numFmtId="0" fontId="7" fillId="0" borderId="0"/>
    <xf numFmtId="167" fontId="7" fillId="0" borderId="0" applyFont="0" applyFill="0" applyBorder="0" applyAlignment="0" applyProtection="0"/>
    <xf numFmtId="168" fontId="25" fillId="0" borderId="0" applyFont="0" applyFill="0" applyBorder="0" applyAlignment="0" applyProtection="0">
      <alignment vertical="center"/>
    </xf>
    <xf numFmtId="0" fontId="7" fillId="0" borderId="0"/>
    <xf numFmtId="167" fontId="7" fillId="0" borderId="0" applyFont="0" applyFill="0" applyBorder="0" applyAlignment="0" applyProtection="0"/>
    <xf numFmtId="0" fontId="7" fillId="0" borderId="0"/>
    <xf numFmtId="0" fontId="7" fillId="0" borderId="0"/>
    <xf numFmtId="0" fontId="18" fillId="0" borderId="0"/>
    <xf numFmtId="0" fontId="7" fillId="0" borderId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</cellStyleXfs>
  <cellXfs count="33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8" fillId="0" borderId="1" xfId="0" applyFont="1" applyBorder="1" applyAlignment="1">
      <alignment vertical="center"/>
    </xf>
    <xf numFmtId="0" fontId="9" fillId="0" borderId="1" xfId="7" applyFont="1" applyBorder="1" applyAlignment="1">
      <alignment vertical="center"/>
    </xf>
    <xf numFmtId="0" fontId="11" fillId="0" borderId="1" xfId="8" applyBorder="1"/>
    <xf numFmtId="0" fontId="11" fillId="3" borderId="1" xfId="8" applyFill="1" applyBorder="1"/>
    <xf numFmtId="0" fontId="11" fillId="4" borderId="1" xfId="8" applyFill="1" applyBorder="1"/>
    <xf numFmtId="0" fontId="12" fillId="5" borderId="0" xfId="0" applyFont="1" applyFill="1"/>
    <xf numFmtId="0" fontId="12" fillId="6" borderId="0" xfId="0" applyFont="1" applyFill="1"/>
    <xf numFmtId="0" fontId="12" fillId="0" borderId="0" xfId="0" applyFont="1"/>
    <xf numFmtId="0" fontId="13" fillId="7" borderId="0" xfId="0" applyFont="1" applyFill="1"/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/>
    </xf>
    <xf numFmtId="0" fontId="12" fillId="7" borderId="0" xfId="0" applyFont="1" applyFill="1"/>
    <xf numFmtId="0" fontId="15" fillId="8" borderId="2" xfId="11" applyFont="1" applyFill="1" applyBorder="1" applyAlignment="1">
      <alignment horizontal="left" vertical="center"/>
    </xf>
    <xf numFmtId="0" fontId="16" fillId="8" borderId="3" xfId="11" applyFont="1" applyFill="1" applyBorder="1" applyAlignment="1"/>
    <xf numFmtId="0" fontId="16" fillId="8" borderId="3" xfId="11" applyFont="1" applyFill="1" applyBorder="1" applyAlignment="1">
      <alignment horizontal="center"/>
    </xf>
    <xf numFmtId="0" fontId="17" fillId="8" borderId="0" xfId="11" applyFont="1" applyFill="1" applyAlignment="1">
      <alignment horizontal="center"/>
    </xf>
    <xf numFmtId="0" fontId="16" fillId="8" borderId="0" xfId="11" applyFont="1" applyFill="1" applyAlignment="1">
      <alignment horizontal="center"/>
    </xf>
    <xf numFmtId="0" fontId="17" fillId="8" borderId="4" xfId="11" applyFont="1" applyFill="1" applyBorder="1" applyAlignment="1">
      <alignment horizontal="left" vertical="center"/>
    </xf>
    <xf numFmtId="0" fontId="16" fillId="8" borderId="0" xfId="11" applyFont="1" applyFill="1" applyAlignment="1"/>
    <xf numFmtId="0" fontId="17" fillId="8" borderId="0" xfId="11" applyFont="1" applyFill="1" applyAlignment="1">
      <alignment horizontal="left" vertical="center" wrapText="1"/>
    </xf>
    <xf numFmtId="0" fontId="17" fillId="8" borderId="0" xfId="11" applyFont="1" applyFill="1" applyAlignment="1">
      <alignment horizontal="left" vertical="center"/>
    </xf>
    <xf numFmtId="3" fontId="14" fillId="8" borderId="0" xfId="1" applyNumberFormat="1" applyFont="1" applyFill="1" applyBorder="1" applyAlignment="1">
      <alignment horizontal="center" vertical="center"/>
    </xf>
    <xf numFmtId="3" fontId="17" fillId="8" borderId="0" xfId="1" applyNumberFormat="1" applyFont="1" applyFill="1" applyBorder="1" applyAlignment="1">
      <alignment horizontal="center" vertical="center" wrapText="1"/>
    </xf>
    <xf numFmtId="0" fontId="17" fillId="8" borderId="4" xfId="11" applyFont="1" applyFill="1" applyBorder="1" applyAlignment="1">
      <alignment horizontal="center"/>
    </xf>
    <xf numFmtId="0" fontId="17" fillId="7" borderId="1" xfId="11" applyFont="1" applyFill="1" applyBorder="1" applyAlignment="1">
      <alignment horizontal="center" vertical="center"/>
    </xf>
    <xf numFmtId="0" fontId="17" fillId="7" borderId="1" xfId="11" applyFont="1" applyFill="1" applyBorder="1">
      <alignment vertical="center"/>
    </xf>
    <xf numFmtId="43" fontId="17" fillId="7" borderId="5" xfId="4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left"/>
    </xf>
    <xf numFmtId="0" fontId="16" fillId="5" borderId="1" xfId="11" applyFont="1" applyFill="1" applyBorder="1" applyAlignment="1">
      <alignment horizontal="center"/>
    </xf>
    <xf numFmtId="3" fontId="17" fillId="5" borderId="1" xfId="1" applyNumberFormat="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center" vertical="center"/>
    </xf>
    <xf numFmtId="0" fontId="18" fillId="0" borderId="1" xfId="11" applyFont="1" applyBorder="1">
      <alignment vertical="center"/>
    </xf>
    <xf numFmtId="0" fontId="16" fillId="7" borderId="1" xfId="11" applyFont="1" applyFill="1" applyBorder="1" applyAlignment="1">
      <alignment horizontal="center"/>
    </xf>
    <xf numFmtId="41" fontId="16" fillId="0" borderId="1" xfId="1" applyFont="1" applyFill="1" applyBorder="1" applyAlignment="1">
      <alignment horizontal="center" vertical="center"/>
    </xf>
    <xf numFmtId="41" fontId="12" fillId="0" borderId="1" xfId="1" applyFont="1" applyBorder="1"/>
    <xf numFmtId="41" fontId="19" fillId="7" borderId="1" xfId="11" applyNumberFormat="1" applyFont="1" applyFill="1" applyBorder="1" applyAlignment="1">
      <alignment horizontal="center" vertical="center"/>
    </xf>
    <xf numFmtId="41" fontId="19" fillId="7" borderId="1" xfId="1" applyFont="1" applyFill="1" applyBorder="1" applyAlignment="1" applyProtection="1">
      <alignment horizontal="center" vertical="center"/>
    </xf>
    <xf numFmtId="0" fontId="17" fillId="6" borderId="6" xfId="11" applyFont="1" applyFill="1" applyBorder="1" applyAlignment="1">
      <alignment horizontal="left" vertical="center"/>
    </xf>
    <xf numFmtId="0" fontId="17" fillId="6" borderId="6" xfId="11" applyFont="1" applyFill="1" applyBorder="1" applyAlignment="1">
      <alignment horizontal="center" vertical="center"/>
    </xf>
    <xf numFmtId="0" fontId="17" fillId="6" borderId="6" xfId="11" applyFont="1" applyFill="1" applyBorder="1" applyAlignment="1">
      <alignment horizontal="center"/>
    </xf>
    <xf numFmtId="3" fontId="20" fillId="6" borderId="6" xfId="1" applyNumberFormat="1" applyFont="1" applyFill="1" applyBorder="1" applyAlignment="1">
      <alignment horizontal="center" vertical="center"/>
    </xf>
    <xf numFmtId="3" fontId="20" fillId="6" borderId="1" xfId="1" applyNumberFormat="1" applyFont="1" applyFill="1" applyBorder="1" applyAlignment="1">
      <alignment horizontal="center" vertical="center"/>
    </xf>
    <xf numFmtId="41" fontId="16" fillId="6" borderId="1" xfId="1" applyFont="1" applyFill="1" applyBorder="1" applyAlignment="1" applyProtection="1">
      <alignment horizontal="center" vertical="center"/>
    </xf>
    <xf numFmtId="3" fontId="17" fillId="6" borderId="1" xfId="1" applyNumberFormat="1" applyFont="1" applyFill="1" applyBorder="1" applyAlignment="1">
      <alignment horizontal="center" vertical="center"/>
    </xf>
    <xf numFmtId="0" fontId="17" fillId="7" borderId="5" xfId="11" applyFont="1" applyFill="1" applyBorder="1" applyAlignment="1">
      <alignment horizontal="center" vertical="center"/>
    </xf>
    <xf numFmtId="0" fontId="17" fillId="7" borderId="2" xfId="11" applyFont="1" applyFill="1" applyBorder="1" applyAlignment="1">
      <alignment horizontal="center" vertical="center"/>
    </xf>
    <xf numFmtId="0" fontId="16" fillId="7" borderId="3" xfId="11" applyFont="1" applyFill="1" applyBorder="1" applyAlignment="1">
      <alignment horizontal="center"/>
    </xf>
    <xf numFmtId="3" fontId="20" fillId="0" borderId="5" xfId="1" applyNumberFormat="1" applyFont="1" applyFill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41" fontId="16" fillId="7" borderId="1" xfId="1" applyFont="1" applyFill="1" applyBorder="1" applyAlignment="1" applyProtection="1">
      <alignment horizontal="center" vertical="center"/>
    </xf>
    <xf numFmtId="3" fontId="17" fillId="7" borderId="1" xfId="1" applyNumberFormat="1" applyFont="1" applyFill="1" applyBorder="1" applyAlignment="1">
      <alignment horizontal="center" vertical="center"/>
    </xf>
    <xf numFmtId="0" fontId="17" fillId="7" borderId="1" xfId="11" applyFont="1" applyFill="1" applyBorder="1" applyAlignment="1">
      <alignment horizontal="left" vertical="center" wrapText="1"/>
    </xf>
    <xf numFmtId="43" fontId="17" fillId="7" borderId="7" xfId="4" applyFont="1" applyFill="1" applyBorder="1" applyAlignment="1">
      <alignment horizontal="center" vertical="center"/>
    </xf>
    <xf numFmtId="43" fontId="17" fillId="7" borderId="8" xfId="4" applyFont="1" applyFill="1" applyBorder="1" applyAlignment="1">
      <alignment horizontal="center" vertical="center"/>
    </xf>
    <xf numFmtId="0" fontId="17" fillId="5" borderId="7" xfId="11" applyFont="1" applyFill="1" applyBorder="1" applyAlignment="1">
      <alignment horizontal="left"/>
    </xf>
    <xf numFmtId="0" fontId="16" fillId="5" borderId="8" xfId="11" applyFont="1" applyFill="1" applyBorder="1" applyAlignment="1">
      <alignment horizontal="center"/>
    </xf>
    <xf numFmtId="3" fontId="20" fillId="5" borderId="1" xfId="1" applyNumberFormat="1" applyFont="1" applyFill="1" applyBorder="1" applyAlignment="1">
      <alignment horizontal="center" vertical="center"/>
    </xf>
    <xf numFmtId="3" fontId="16" fillId="5" borderId="8" xfId="1" applyNumberFormat="1" applyFont="1" applyFill="1" applyBorder="1" applyAlignment="1">
      <alignment horizontal="center" vertical="center"/>
    </xf>
    <xf numFmtId="0" fontId="16" fillId="0" borderId="1" xfId="11" applyFont="1" applyBorder="1" applyAlignment="1"/>
    <xf numFmtId="3" fontId="16" fillId="7" borderId="1" xfId="1" applyNumberFormat="1" applyFont="1" applyFill="1" applyBorder="1" applyAlignment="1">
      <alignment horizontal="center" vertical="center"/>
    </xf>
    <xf numFmtId="41" fontId="16" fillId="0" borderId="1" xfId="1" applyFont="1" applyFill="1" applyBorder="1" applyAlignment="1" applyProtection="1">
      <alignment horizontal="center" vertical="center"/>
    </xf>
    <xf numFmtId="41" fontId="0" fillId="0" borderId="0" xfId="1" applyFont="1"/>
    <xf numFmtId="0" fontId="12" fillId="7" borderId="1" xfId="1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 vertical="center" wrapText="1"/>
    </xf>
    <xf numFmtId="0" fontId="16" fillId="7" borderId="1" xfId="11" applyFont="1" applyFill="1" applyBorder="1" applyAlignment="1"/>
    <xf numFmtId="0" fontId="16" fillId="0" borderId="1" xfId="8" applyFont="1" applyBorder="1" applyAlignment="1">
      <alignment wrapText="1"/>
    </xf>
    <xf numFmtId="41" fontId="19" fillId="0" borderId="1" xfId="11" applyNumberFormat="1" applyFont="1" applyBorder="1" applyAlignment="1">
      <alignment horizontal="center" vertical="center"/>
    </xf>
    <xf numFmtId="0" fontId="16" fillId="0" borderId="1" xfId="11" applyFont="1" applyBorder="1" applyAlignment="1">
      <alignment horizontal="center" vertical="center"/>
    </xf>
    <xf numFmtId="0" fontId="16" fillId="0" borderId="1" xfId="11" applyFont="1" applyBorder="1" applyAlignment="1">
      <alignment horizontal="center"/>
    </xf>
    <xf numFmtId="0" fontId="16" fillId="8" borderId="0" xfId="11" applyFont="1" applyFill="1" applyAlignment="1">
      <alignment horizontal="center" vertical="center"/>
    </xf>
    <xf numFmtId="43" fontId="17" fillId="9" borderId="9" xfId="11" applyNumberFormat="1" applyFont="1" applyFill="1" applyBorder="1" applyAlignment="1">
      <alignment vertical="center" wrapText="1"/>
    </xf>
    <xf numFmtId="43" fontId="17" fillId="9" borderId="1" xfId="11" applyNumberFormat="1" applyFont="1" applyFill="1" applyBorder="1" applyAlignment="1">
      <alignment vertical="center" wrapText="1"/>
    </xf>
    <xf numFmtId="43" fontId="17" fillId="7" borderId="9" xfId="11" applyNumberFormat="1" applyFont="1" applyFill="1" applyBorder="1" applyAlignment="1">
      <alignment horizontal="left" vertical="center" wrapText="1"/>
    </xf>
    <xf numFmtId="43" fontId="17" fillId="7" borderId="1" xfId="11" applyNumberFormat="1" applyFont="1" applyFill="1" applyBorder="1" applyAlignment="1">
      <alignment horizontal="center" vertical="center"/>
    </xf>
    <xf numFmtId="0" fontId="17" fillId="8" borderId="0" xfId="11" applyFont="1" applyFill="1" applyAlignment="1">
      <alignment horizontal="center" vertical="center" wrapText="1"/>
    </xf>
    <xf numFmtId="0" fontId="14" fillId="0" borderId="1" xfId="11" applyFont="1" applyBorder="1" applyAlignment="1">
      <alignment horizontal="center" vertical="center"/>
    </xf>
    <xf numFmtId="0" fontId="22" fillId="7" borderId="1" xfId="11" applyFont="1" applyFill="1" applyBorder="1" applyAlignment="1">
      <alignment horizontal="center" vertical="center" wrapText="1"/>
    </xf>
    <xf numFmtId="3" fontId="14" fillId="0" borderId="1" xfId="1" applyNumberFormat="1" applyFont="1" applyFill="1" applyBorder="1" applyAlignment="1">
      <alignment horizontal="center" vertical="center"/>
    </xf>
    <xf numFmtId="0" fontId="17" fillId="7" borderId="9" xfId="11" applyFont="1" applyFill="1" applyBorder="1" applyAlignment="1">
      <alignment horizontal="left" vertical="center"/>
    </xf>
    <xf numFmtId="3" fontId="23" fillId="7" borderId="1" xfId="1" applyNumberFormat="1" applyFont="1" applyFill="1" applyBorder="1" applyAlignment="1">
      <alignment horizontal="center" vertical="center"/>
    </xf>
    <xf numFmtId="3" fontId="17" fillId="7" borderId="5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>
      <alignment horizontal="center" vertical="center"/>
    </xf>
    <xf numFmtId="41" fontId="16" fillId="0" borderId="1" xfId="11" applyNumberFormat="1" applyFont="1" applyBorder="1" applyAlignment="1">
      <alignment horizontal="center"/>
    </xf>
    <xf numFmtId="0" fontId="18" fillId="0" borderId="1" xfId="11" applyFont="1" applyBorder="1" applyAlignment="1">
      <alignment horizontal="center"/>
    </xf>
    <xf numFmtId="0" fontId="16" fillId="7" borderId="1" xfId="11" applyFont="1" applyFill="1" applyBorder="1" applyAlignment="1">
      <alignment horizontal="left" vertical="center"/>
    </xf>
    <xf numFmtId="3" fontId="17" fillId="6" borderId="10" xfId="1" applyNumberFormat="1" applyFont="1" applyFill="1" applyBorder="1" applyAlignment="1">
      <alignment horizontal="center" vertical="center"/>
    </xf>
    <xf numFmtId="3" fontId="17" fillId="6" borderId="6" xfId="1" applyNumberFormat="1" applyFont="1" applyFill="1" applyBorder="1" applyAlignment="1">
      <alignment horizontal="center" vertical="center"/>
    </xf>
    <xf numFmtId="3" fontId="17" fillId="7" borderId="3" xfId="1" applyNumberFormat="1" applyFont="1" applyFill="1" applyBorder="1" applyAlignment="1">
      <alignment horizontal="center" vertical="center"/>
    </xf>
    <xf numFmtId="0" fontId="17" fillId="7" borderId="3" xfId="11" applyFont="1" applyFill="1" applyBorder="1" applyAlignment="1">
      <alignment horizontal="center" vertical="center"/>
    </xf>
    <xf numFmtId="43" fontId="17" fillId="7" borderId="9" xfId="4" applyFont="1" applyFill="1" applyBorder="1" applyAlignment="1">
      <alignment horizontal="center" vertical="center"/>
    </xf>
    <xf numFmtId="0" fontId="16" fillId="5" borderId="8" xfId="11" applyFont="1" applyFill="1" applyBorder="1" applyAlignment="1">
      <alignment horizontal="center" vertical="center"/>
    </xf>
    <xf numFmtId="41" fontId="16" fillId="7" borderId="1" xfId="1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3" fontId="12" fillId="0" borderId="1" xfId="1" applyNumberFormat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8" fillId="0" borderId="1" xfId="8" applyFont="1" applyBorder="1" applyAlignment="1">
      <alignment vertical="center"/>
    </xf>
    <xf numFmtId="3" fontId="16" fillId="7" borderId="1" xfId="2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vertical="top"/>
    </xf>
    <xf numFmtId="3" fontId="19" fillId="7" borderId="1" xfId="2" applyNumberFormat="1" applyFont="1" applyFill="1" applyBorder="1" applyAlignment="1">
      <alignment horizontal="center" vertical="center"/>
    </xf>
    <xf numFmtId="43" fontId="17" fillId="7" borderId="0" xfId="11" applyNumberFormat="1" applyFont="1" applyFill="1" applyAlignment="1">
      <alignment vertical="center" wrapText="1"/>
    </xf>
    <xf numFmtId="0" fontId="16" fillId="7" borderId="0" xfId="11" applyFont="1" applyFill="1" applyAlignment="1"/>
    <xf numFmtId="43" fontId="17" fillId="7" borderId="0" xfId="11" applyNumberFormat="1" applyFont="1" applyFill="1" applyAlignment="1">
      <alignment horizontal="center" vertical="center"/>
    </xf>
    <xf numFmtId="0" fontId="22" fillId="7" borderId="0" xfId="11" applyFont="1" applyFill="1" applyAlignment="1">
      <alignment horizontal="center" vertical="center" wrapText="1"/>
    </xf>
    <xf numFmtId="0" fontId="16" fillId="7" borderId="0" xfId="11" applyFont="1" applyFill="1" applyAlignment="1">
      <alignment wrapText="1"/>
    </xf>
    <xf numFmtId="3" fontId="14" fillId="7" borderId="0" xfId="1" applyNumberFormat="1" applyFont="1" applyFill="1" applyBorder="1" applyAlignment="1">
      <alignment horizontal="center" vertical="center"/>
    </xf>
    <xf numFmtId="0" fontId="16" fillId="7" borderId="0" xfId="11" applyFont="1" applyFill="1" applyAlignment="1">
      <alignment horizontal="center" vertical="center"/>
    </xf>
    <xf numFmtId="3" fontId="23" fillId="7" borderId="0" xfId="1" applyNumberFormat="1" applyFont="1" applyFill="1" applyBorder="1" applyAlignment="1">
      <alignment horizontal="center" vertical="center"/>
    </xf>
    <xf numFmtId="3" fontId="16" fillId="7" borderId="0" xfId="1" applyNumberFormat="1" applyFont="1" applyFill="1" applyBorder="1" applyAlignment="1">
      <alignment horizontal="center" vertical="center"/>
    </xf>
    <xf numFmtId="3" fontId="17" fillId="7" borderId="0" xfId="1" applyNumberFormat="1" applyFont="1" applyFill="1" applyBorder="1" applyAlignment="1">
      <alignment horizontal="center" vertical="center"/>
    </xf>
    <xf numFmtId="0" fontId="17" fillId="7" borderId="0" xfId="11" applyFont="1" applyFill="1" applyAlignment="1"/>
    <xf numFmtId="43" fontId="17" fillId="7" borderId="0" xfId="4" applyFont="1" applyFill="1" applyBorder="1" applyAlignment="1">
      <alignment horizontal="center" vertical="center"/>
    </xf>
    <xf numFmtId="0" fontId="12" fillId="7" borderId="0" xfId="11" applyFont="1" applyFill="1" applyAlignment="1"/>
    <xf numFmtId="3" fontId="16" fillId="7" borderId="0" xfId="2" applyNumberFormat="1" applyFont="1" applyFill="1" applyBorder="1" applyAlignment="1">
      <alignment horizontal="center" vertical="center"/>
    </xf>
    <xf numFmtId="3" fontId="19" fillId="7" borderId="0" xfId="2" applyNumberFormat="1" applyFont="1" applyFill="1" applyBorder="1" applyAlignment="1">
      <alignment horizontal="center" vertical="center"/>
    </xf>
    <xf numFmtId="0" fontId="19" fillId="7" borderId="0" xfId="11" applyFont="1" applyFill="1" applyAlignment="1"/>
    <xf numFmtId="0" fontId="16" fillId="7" borderId="1" xfId="11" applyFont="1" applyFill="1" applyBorder="1">
      <alignment vertical="center"/>
    </xf>
    <xf numFmtId="0" fontId="17" fillId="6" borderId="1" xfId="11" applyFont="1" applyFill="1" applyBorder="1" applyAlignment="1">
      <alignment horizontal="left"/>
    </xf>
    <xf numFmtId="0" fontId="17" fillId="6" borderId="1" xfId="11" applyFont="1" applyFill="1" applyBorder="1" applyAlignment="1">
      <alignment horizontal="center"/>
    </xf>
    <xf numFmtId="0" fontId="16" fillId="7" borderId="7" xfId="11" applyFont="1" applyFill="1" applyBorder="1" applyAlignment="1">
      <alignment horizontal="center" vertical="center"/>
    </xf>
    <xf numFmtId="0" fontId="16" fillId="7" borderId="8" xfId="11" applyFont="1" applyFill="1" applyBorder="1" applyAlignment="1"/>
    <xf numFmtId="0" fontId="16" fillId="7" borderId="8" xfId="11" applyFont="1" applyFill="1" applyBorder="1" applyAlignment="1">
      <alignment horizontal="center"/>
    </xf>
    <xf numFmtId="3" fontId="16" fillId="7" borderId="8" xfId="1" applyNumberFormat="1" applyFont="1" applyFill="1" applyBorder="1" applyAlignment="1">
      <alignment horizontal="center" vertical="center"/>
    </xf>
    <xf numFmtId="0" fontId="17" fillId="5" borderId="1" xfId="11" applyFont="1" applyFill="1" applyBorder="1" applyAlignment="1"/>
    <xf numFmtId="0" fontId="16" fillId="7" borderId="1" xfId="11" applyFont="1" applyFill="1" applyBorder="1" applyAlignment="1">
      <alignment wrapText="1"/>
    </xf>
    <xf numFmtId="0" fontId="16" fillId="0" borderId="1" xfId="11" applyFont="1" applyBorder="1" applyAlignment="1">
      <alignment vertical="center" wrapText="1"/>
    </xf>
    <xf numFmtId="0" fontId="16" fillId="0" borderId="1" xfId="11" applyFont="1" applyBorder="1" applyAlignment="1">
      <alignment wrapText="1"/>
    </xf>
    <xf numFmtId="0" fontId="17" fillId="6" borderId="1" xfId="11" applyFont="1" applyFill="1" applyBorder="1" applyAlignment="1">
      <alignment horizontal="center" vertical="center"/>
    </xf>
    <xf numFmtId="3" fontId="16" fillId="0" borderId="8" xfId="1" applyNumberFormat="1" applyFont="1" applyFill="1" applyBorder="1" applyAlignment="1">
      <alignment horizontal="center" vertical="center"/>
    </xf>
    <xf numFmtId="0" fontId="16" fillId="7" borderId="8" xfId="11" applyFont="1" applyFill="1" applyBorder="1" applyAlignment="1">
      <alignment horizontal="center" vertical="center"/>
    </xf>
    <xf numFmtId="3" fontId="16" fillId="0" borderId="9" xfId="1" applyNumberFormat="1" applyFont="1" applyFill="1" applyBorder="1" applyAlignment="1">
      <alignment horizontal="center" vertical="center"/>
    </xf>
    <xf numFmtId="0" fontId="16" fillId="0" borderId="1" xfId="11" applyFont="1" applyBorder="1" applyAlignment="1">
      <alignment horizontal="left" vertical="center"/>
    </xf>
    <xf numFmtId="0" fontId="16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top"/>
    </xf>
    <xf numFmtId="3" fontId="16" fillId="7" borderId="11" xfId="1" applyNumberFormat="1" applyFont="1" applyFill="1" applyBorder="1" applyAlignment="1">
      <alignment horizontal="center" vertical="center"/>
    </xf>
    <xf numFmtId="0" fontId="16" fillId="7" borderId="12" xfId="11" applyFont="1" applyFill="1" applyBorder="1" applyAlignment="1">
      <alignment horizontal="left" vertical="center" wrapText="1"/>
    </xf>
    <xf numFmtId="3" fontId="16" fillId="7" borderId="0" xfId="1" applyNumberFormat="1" applyFont="1" applyFill="1" applyBorder="1" applyAlignment="1">
      <alignment horizontal="left" vertical="center"/>
    </xf>
    <xf numFmtId="0" fontId="16" fillId="0" borderId="1" xfId="9" applyFont="1" applyBorder="1" applyAlignment="1">
      <alignment horizontal="center"/>
    </xf>
    <xf numFmtId="0" fontId="16" fillId="0" borderId="1" xfId="10" applyFont="1" applyBorder="1" applyAlignment="1">
      <alignment wrapText="1"/>
    </xf>
    <xf numFmtId="0" fontId="16" fillId="0" borderId="1" xfId="13" applyFont="1" applyBorder="1" applyAlignment="1">
      <alignment horizontal="center"/>
    </xf>
    <xf numFmtId="0" fontId="17" fillId="7" borderId="7" xfId="11" applyFont="1" applyFill="1" applyBorder="1" applyAlignment="1">
      <alignment horizontal="center"/>
    </xf>
    <xf numFmtId="0" fontId="17" fillId="7" borderId="8" xfId="11" applyFont="1" applyFill="1" applyBorder="1" applyAlignment="1">
      <alignment horizontal="center"/>
    </xf>
    <xf numFmtId="3" fontId="17" fillId="7" borderId="8" xfId="1" applyNumberFormat="1" applyFont="1" applyFill="1" applyBorder="1" applyAlignment="1">
      <alignment horizontal="center" vertical="center"/>
    </xf>
    <xf numFmtId="41" fontId="16" fillId="0" borderId="1" xfId="11" applyNumberFormat="1" applyFont="1" applyBorder="1" applyAlignment="1"/>
    <xf numFmtId="49" fontId="12" fillId="0" borderId="1" xfId="0" applyNumberFormat="1" applyFont="1" applyBorder="1"/>
    <xf numFmtId="3" fontId="16" fillId="0" borderId="1" xfId="1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vertical="center"/>
    </xf>
    <xf numFmtId="3" fontId="17" fillId="7" borderId="9" xfId="1" applyNumberFormat="1" applyFont="1" applyFill="1" applyBorder="1" applyAlignment="1">
      <alignment horizontal="center" vertical="center"/>
    </xf>
    <xf numFmtId="41" fontId="16" fillId="0" borderId="1" xfId="11" applyNumberFormat="1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16" fillId="0" borderId="1" xfId="8" applyFont="1" applyBorder="1" applyAlignment="1">
      <alignment horizontal="left" vertical="center" wrapText="1"/>
    </xf>
    <xf numFmtId="41" fontId="19" fillId="0" borderId="1" xfId="3" applyFont="1" applyFill="1" applyBorder="1" applyAlignment="1">
      <alignment horizontal="center" vertical="center"/>
    </xf>
    <xf numFmtId="41" fontId="12" fillId="0" borderId="1" xfId="1" applyFont="1" applyFill="1" applyBorder="1"/>
    <xf numFmtId="0" fontId="17" fillId="7" borderId="6" xfId="11" applyFont="1" applyFill="1" applyBorder="1" applyAlignment="1">
      <alignment horizontal="center" vertical="center"/>
    </xf>
    <xf numFmtId="0" fontId="17" fillId="7" borderId="13" xfId="11" applyFont="1" applyFill="1" applyBorder="1" applyAlignment="1">
      <alignment horizontal="center"/>
    </xf>
    <xf numFmtId="0" fontId="17" fillId="7" borderId="0" xfId="11" applyFont="1" applyFill="1" applyAlignment="1">
      <alignment horizontal="center"/>
    </xf>
    <xf numFmtId="3" fontId="17" fillId="7" borderId="14" xfId="1" applyNumberFormat="1" applyFont="1" applyFill="1" applyBorder="1" applyAlignment="1">
      <alignment horizontal="center" vertical="center"/>
    </xf>
    <xf numFmtId="0" fontId="16" fillId="7" borderId="1" xfId="9" applyFont="1" applyFill="1" applyBorder="1" applyAlignment="1">
      <alignment wrapText="1"/>
    </xf>
    <xf numFmtId="0" fontId="16" fillId="7" borderId="1" xfId="9" applyFont="1" applyFill="1" applyBorder="1" applyAlignment="1">
      <alignment horizontal="center"/>
    </xf>
    <xf numFmtId="0" fontId="16" fillId="0" borderId="1" xfId="9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17" fillId="7" borderId="14" xfId="11" applyFont="1" applyFill="1" applyBorder="1" applyAlignment="1">
      <alignment horizontal="center" vertical="center"/>
    </xf>
    <xf numFmtId="3" fontId="17" fillId="7" borderId="10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/>
    <xf numFmtId="3" fontId="16" fillId="0" borderId="0" xfId="1" applyNumberFormat="1" applyFont="1" applyFill="1" applyBorder="1" applyAlignment="1">
      <alignment horizontal="center" vertical="center"/>
    </xf>
    <xf numFmtId="0" fontId="16" fillId="0" borderId="0" xfId="11" applyFont="1" applyAlignment="1"/>
    <xf numFmtId="0" fontId="16" fillId="6" borderId="1" xfId="11" applyFont="1" applyFill="1" applyBorder="1" applyAlignment="1"/>
    <xf numFmtId="3" fontId="16" fillId="6" borderId="1" xfId="1" applyNumberFormat="1" applyFont="1" applyFill="1" applyBorder="1" applyAlignment="1">
      <alignment horizontal="center" vertical="center"/>
    </xf>
    <xf numFmtId="0" fontId="17" fillId="7" borderId="7" xfId="1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/>
    </xf>
    <xf numFmtId="3" fontId="16" fillId="7" borderId="1" xfId="1" applyNumberFormat="1" applyFont="1" applyFill="1" applyBorder="1" applyAlignment="1">
      <alignment horizontal="center"/>
    </xf>
    <xf numFmtId="0" fontId="17" fillId="6" borderId="1" xfId="11" applyFont="1" applyFill="1" applyBorder="1" applyAlignment="1"/>
    <xf numFmtId="3" fontId="17" fillId="6" borderId="1" xfId="1" applyNumberFormat="1" applyFont="1" applyFill="1" applyBorder="1" applyAlignment="1">
      <alignment horizontal="center"/>
    </xf>
    <xf numFmtId="0" fontId="16" fillId="7" borderId="7" xfId="11" applyFont="1" applyFill="1" applyBorder="1" applyAlignment="1"/>
    <xf numFmtId="41" fontId="16" fillId="7" borderId="8" xfId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/>
    </xf>
    <xf numFmtId="41" fontId="17" fillId="6" borderId="1" xfId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/>
    </xf>
    <xf numFmtId="41" fontId="19" fillId="6" borderId="1" xfId="11" applyNumberFormat="1" applyFont="1" applyFill="1" applyBorder="1" applyAlignment="1">
      <alignment horizontal="center" vertical="center"/>
    </xf>
    <xf numFmtId="0" fontId="17" fillId="0" borderId="1" xfId="11" applyFont="1" applyBorder="1" applyAlignment="1">
      <alignment horizontal="center" vertical="center"/>
    </xf>
    <xf numFmtId="0" fontId="16" fillId="0" borderId="7" xfId="11" applyFont="1" applyBorder="1" applyAlignment="1">
      <alignment horizontal="left" vertical="center" wrapText="1"/>
    </xf>
    <xf numFmtId="0" fontId="16" fillId="0" borderId="8" xfId="11" applyFont="1" applyBorder="1" applyAlignment="1">
      <alignment horizontal="center" vertical="center"/>
    </xf>
    <xf numFmtId="3" fontId="16" fillId="7" borderId="8" xfId="1" applyNumberFormat="1" applyFont="1" applyFill="1" applyBorder="1" applyAlignment="1">
      <alignment horizontal="center" vertical="center" wrapText="1"/>
    </xf>
    <xf numFmtId="41" fontId="16" fillId="7" borderId="8" xfId="1" applyFont="1" applyFill="1" applyBorder="1" applyAlignment="1">
      <alignment horizontal="center" vertical="center" wrapText="1"/>
    </xf>
    <xf numFmtId="0" fontId="17" fillId="5" borderId="1" xfId="12" applyFont="1" applyFill="1" applyBorder="1" applyAlignment="1">
      <alignment horizontal="left" vertical="top" wrapText="1"/>
    </xf>
    <xf numFmtId="0" fontId="16" fillId="0" borderId="1" xfId="12" applyFont="1" applyBorder="1" applyAlignment="1">
      <alignment horizontal="left"/>
    </xf>
    <xf numFmtId="3" fontId="16" fillId="0" borderId="1" xfId="1" applyNumberFormat="1" applyFont="1" applyFill="1" applyBorder="1" applyAlignment="1">
      <alignment horizontal="center" vertical="center" wrapText="1"/>
    </xf>
    <xf numFmtId="3" fontId="20" fillId="6" borderId="1" xfId="1" applyNumberFormat="1" applyFont="1" applyFill="1" applyBorder="1" applyAlignment="1">
      <alignment horizontal="center" vertical="center" wrapText="1"/>
    </xf>
    <xf numFmtId="3" fontId="17" fillId="6" borderId="1" xfId="1" applyNumberFormat="1" applyFont="1" applyFill="1" applyBorder="1" applyAlignment="1">
      <alignment horizontal="center" vertical="center" wrapText="1"/>
    </xf>
    <xf numFmtId="3" fontId="20" fillId="0" borderId="1" xfId="1" applyNumberFormat="1" applyFont="1" applyFill="1" applyBorder="1" applyAlignment="1">
      <alignment horizontal="center" vertical="center" wrapText="1"/>
    </xf>
    <xf numFmtId="3" fontId="16" fillId="0" borderId="8" xfId="1" applyNumberFormat="1" applyFont="1" applyFill="1" applyBorder="1" applyAlignment="1">
      <alignment horizontal="center" vertical="center" wrapText="1"/>
    </xf>
    <xf numFmtId="0" fontId="17" fillId="5" borderId="7" xfId="11" applyFont="1" applyFill="1" applyBorder="1" applyAlignment="1">
      <alignment horizontal="left" vertical="top" wrapText="1"/>
    </xf>
    <xf numFmtId="3" fontId="20" fillId="5" borderId="1" xfId="1" applyNumberFormat="1" applyFont="1" applyFill="1" applyBorder="1" applyAlignment="1">
      <alignment horizontal="center" vertical="center" wrapText="1"/>
    </xf>
    <xf numFmtId="3" fontId="16" fillId="5" borderId="8" xfId="1" applyNumberFormat="1" applyFont="1" applyFill="1" applyBorder="1" applyAlignment="1">
      <alignment horizontal="center"/>
    </xf>
    <xf numFmtId="0" fontId="17" fillId="5" borderId="1" xfId="11" applyFont="1" applyFill="1" applyBorder="1" applyAlignment="1">
      <alignment horizontal="left" vertical="top" wrapText="1"/>
    </xf>
    <xf numFmtId="3" fontId="17" fillId="5" borderId="1" xfId="1" applyNumberFormat="1" applyFont="1" applyFill="1" applyBorder="1" applyAlignment="1">
      <alignment horizontal="center"/>
    </xf>
    <xf numFmtId="3" fontId="17" fillId="7" borderId="1" xfId="1" applyNumberFormat="1" applyFont="1" applyFill="1" applyBorder="1" applyAlignment="1">
      <alignment horizontal="center"/>
    </xf>
    <xf numFmtId="3" fontId="17" fillId="0" borderId="1" xfId="1" applyNumberFormat="1" applyFont="1" applyFill="1" applyBorder="1" applyAlignment="1">
      <alignment horizontal="center" vertical="center"/>
    </xf>
    <xf numFmtId="0" fontId="21" fillId="7" borderId="1" xfId="1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/>
    </xf>
    <xf numFmtId="3" fontId="21" fillId="7" borderId="5" xfId="1" applyNumberFormat="1" applyFont="1" applyFill="1" applyBorder="1" applyAlignment="1">
      <alignment horizontal="center" vertical="center" wrapText="1"/>
    </xf>
    <xf numFmtId="0" fontId="17" fillId="5" borderId="1" xfId="11" applyFont="1" applyFill="1" applyBorder="1" applyAlignment="1">
      <alignment horizontal="center"/>
    </xf>
    <xf numFmtId="0" fontId="16" fillId="7" borderId="1" xfId="11" applyFont="1" applyFill="1" applyBorder="1" applyAlignment="1">
      <alignment horizontal="center" vertical="center" wrapText="1"/>
    </xf>
    <xf numFmtId="3" fontId="17" fillId="7" borderId="1" xfId="1" applyNumberFormat="1" applyFont="1" applyFill="1" applyBorder="1" applyAlignment="1">
      <alignment horizontal="center" vertical="center" wrapText="1"/>
    </xf>
    <xf numFmtId="3" fontId="17" fillId="7" borderId="8" xfId="1" applyNumberFormat="1" applyFont="1" applyFill="1" applyBorder="1" applyAlignment="1">
      <alignment horizontal="center" vertical="center" wrapText="1"/>
    </xf>
    <xf numFmtId="0" fontId="17" fillId="7" borderId="7" xfId="11" applyFont="1" applyFill="1" applyBorder="1" applyAlignment="1">
      <alignment horizontal="left"/>
    </xf>
    <xf numFmtId="0" fontId="17" fillId="7" borderId="1" xfId="11" applyFont="1" applyFill="1" applyBorder="1" applyAlignment="1">
      <alignment horizontal="center" wrapText="1"/>
    </xf>
    <xf numFmtId="0" fontId="17" fillId="7" borderId="1" xfId="11" applyFont="1" applyFill="1" applyBorder="1" applyAlignment="1">
      <alignment horizontal="center"/>
    </xf>
    <xf numFmtId="42" fontId="17" fillId="7" borderId="1" xfId="5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wrapText="1"/>
    </xf>
    <xf numFmtId="42" fontId="16" fillId="7" borderId="1" xfId="5" applyNumberFormat="1" applyFont="1" applyFill="1" applyBorder="1" applyAlignment="1">
      <alignment horizontal="center"/>
    </xf>
    <xf numFmtId="165" fontId="16" fillId="7" borderId="1" xfId="5" applyNumberFormat="1" applyFont="1" applyFill="1" applyBorder="1" applyAlignment="1">
      <alignment horizontal="center"/>
    </xf>
    <xf numFmtId="166" fontId="16" fillId="7" borderId="1" xfId="1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6" borderId="1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/>
    </xf>
    <xf numFmtId="41" fontId="16" fillId="7" borderId="1" xfId="1" applyFont="1" applyFill="1" applyBorder="1" applyAlignment="1">
      <alignment horizontal="center"/>
    </xf>
    <xf numFmtId="41" fontId="17" fillId="6" borderId="1" xfId="1" applyFont="1" applyFill="1" applyBorder="1" applyAlignment="1">
      <alignment horizontal="center"/>
    </xf>
    <xf numFmtId="3" fontId="16" fillId="0" borderId="9" xfId="1" applyNumberFormat="1" applyFont="1" applyFill="1" applyBorder="1" applyAlignment="1">
      <alignment horizontal="center" vertical="center" wrapText="1"/>
    </xf>
    <xf numFmtId="3" fontId="16" fillId="5" borderId="1" xfId="1" applyNumberFormat="1" applyFont="1" applyFill="1" applyBorder="1" applyAlignment="1">
      <alignment horizontal="center" vertical="center" wrapText="1"/>
    </xf>
    <xf numFmtId="41" fontId="16" fillId="10" borderId="1" xfId="1" applyFont="1" applyFill="1" applyBorder="1" applyAlignment="1" applyProtection="1">
      <alignment horizontal="center" vertical="center"/>
    </xf>
    <xf numFmtId="49" fontId="16" fillId="0" borderId="1" xfId="12" applyNumberFormat="1" applyFont="1" applyBorder="1" applyAlignment="1">
      <alignment horizontal="left"/>
    </xf>
    <xf numFmtId="3" fontId="16" fillId="5" borderId="9" xfId="1" applyNumberFormat="1" applyFont="1" applyFill="1" applyBorder="1" applyAlignment="1">
      <alignment horizontal="center"/>
    </xf>
    <xf numFmtId="3" fontId="16" fillId="7" borderId="15" xfId="1" applyNumberFormat="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 vertical="center"/>
    </xf>
    <xf numFmtId="0" fontId="21" fillId="7" borderId="3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3" fontId="16" fillId="7" borderId="0" xfId="1" applyNumberFormat="1" applyFont="1" applyFill="1" applyBorder="1" applyAlignment="1">
      <alignment horizontal="center"/>
    </xf>
    <xf numFmtId="3" fontId="17" fillId="7" borderId="0" xfId="1" applyNumberFormat="1" applyFont="1" applyFill="1" applyBorder="1" applyAlignment="1">
      <alignment horizontal="center"/>
    </xf>
    <xf numFmtId="3" fontId="16" fillId="7" borderId="0" xfId="1" applyNumberFormat="1" applyFont="1" applyFill="1" applyBorder="1" applyAlignment="1">
      <alignment horizontal="center" vertical="center" wrapText="1"/>
    </xf>
    <xf numFmtId="0" fontId="16" fillId="7" borderId="0" xfId="11" applyFont="1" applyFill="1">
      <alignment vertical="center"/>
    </xf>
    <xf numFmtId="3" fontId="17" fillId="7" borderId="0" xfId="1" applyNumberFormat="1" applyFont="1" applyFill="1" applyBorder="1" applyAlignment="1">
      <alignment horizontal="center" vertical="center" wrapText="1"/>
    </xf>
    <xf numFmtId="0" fontId="17" fillId="7" borderId="0" xfId="11" applyFont="1" applyFill="1">
      <alignment vertical="center"/>
    </xf>
    <xf numFmtId="0" fontId="16" fillId="7" borderId="0" xfId="11" applyFont="1" applyFill="1" applyAlignment="1">
      <alignment vertical="top"/>
    </xf>
    <xf numFmtId="3" fontId="21" fillId="7" borderId="0" xfId="1" applyNumberFormat="1" applyFont="1" applyFill="1" applyBorder="1" applyAlignment="1">
      <alignment horizontal="center" vertical="center" wrapText="1"/>
    </xf>
    <xf numFmtId="0" fontId="21" fillId="7" borderId="0" xfId="11" applyFont="1" applyFill="1">
      <alignment vertical="center"/>
    </xf>
    <xf numFmtId="0" fontId="16" fillId="7" borderId="0" xfId="11" applyFont="1" applyFill="1" applyAlignment="1">
      <alignment horizontal="center"/>
    </xf>
    <xf numFmtId="0" fontId="16" fillId="7" borderId="16" xfId="11" applyFont="1" applyFill="1" applyBorder="1" applyAlignment="1">
      <alignment vertical="top" wrapText="1"/>
    </xf>
    <xf numFmtId="3" fontId="16" fillId="7" borderId="14" xfId="1" applyNumberFormat="1" applyFont="1" applyFill="1" applyBorder="1" applyAlignment="1">
      <alignment horizontal="center" vertical="center"/>
    </xf>
    <xf numFmtId="0" fontId="16" fillId="7" borderId="17" xfId="11" applyFont="1" applyFill="1" applyBorder="1" applyAlignment="1">
      <alignment vertical="top" wrapText="1"/>
    </xf>
    <xf numFmtId="3" fontId="17" fillId="7" borderId="5" xfId="1" applyNumberFormat="1" applyFont="1" applyFill="1" applyBorder="1" applyAlignment="1">
      <alignment horizontal="center" vertical="center" wrapText="1"/>
    </xf>
    <xf numFmtId="43" fontId="17" fillId="7" borderId="5" xfId="4" applyFont="1" applyFill="1" applyBorder="1" applyAlignment="1">
      <alignment horizontal="center" vertical="center" wrapText="1"/>
    </xf>
    <xf numFmtId="0" fontId="7" fillId="3" borderId="1" xfId="0" applyFont="1" applyFill="1" applyBorder="1"/>
    <xf numFmtId="41" fontId="16" fillId="2" borderId="1" xfId="1" applyFont="1" applyFill="1" applyBorder="1" applyAlignment="1">
      <alignment horizontal="center" vertical="center"/>
    </xf>
    <xf numFmtId="41" fontId="16" fillId="2" borderId="1" xfId="1" applyFont="1" applyFill="1" applyBorder="1" applyAlignment="1" applyProtection="1">
      <alignment horizontal="center" vertical="center"/>
    </xf>
    <xf numFmtId="0" fontId="24" fillId="2" borderId="1" xfId="0" applyFont="1" applyFill="1" applyBorder="1"/>
    <xf numFmtId="0" fontId="12" fillId="0" borderId="0" xfId="14" applyFont="1"/>
    <xf numFmtId="0" fontId="27" fillId="0" borderId="1" xfId="0" applyFont="1" applyBorder="1"/>
    <xf numFmtId="0" fontId="27" fillId="2" borderId="1" xfId="0" applyFont="1" applyFill="1" applyBorder="1"/>
    <xf numFmtId="0" fontId="0" fillId="11" borderId="1" xfId="0" applyFill="1" applyBorder="1"/>
    <xf numFmtId="0" fontId="27" fillId="11" borderId="1" xfId="0" applyFont="1" applyFill="1" applyBorder="1"/>
    <xf numFmtId="0" fontId="0" fillId="7" borderId="1" xfId="0" applyFill="1" applyBorder="1"/>
    <xf numFmtId="0" fontId="27" fillId="7" borderId="1" xfId="0" applyFont="1" applyFill="1" applyBorder="1"/>
    <xf numFmtId="0" fontId="6" fillId="4" borderId="1" xfId="0" quotePrefix="1" applyFont="1" applyFill="1" applyBorder="1" applyAlignment="1">
      <alignment horizontal="center" vertical="center"/>
    </xf>
    <xf numFmtId="0" fontId="7" fillId="0" borderId="1" xfId="0" applyFont="1" applyBorder="1"/>
    <xf numFmtId="0" fontId="10" fillId="3" borderId="1" xfId="0" applyFont="1" applyFill="1" applyBorder="1"/>
    <xf numFmtId="0" fontId="29" fillId="3" borderId="1" xfId="0" applyFont="1" applyFill="1" applyBorder="1" applyAlignment="1">
      <alignment vertical="center"/>
    </xf>
    <xf numFmtId="0" fontId="29" fillId="3" borderId="1" xfId="7" applyFont="1" applyFill="1" applyBorder="1" applyAlignment="1">
      <alignment vertical="center"/>
    </xf>
    <xf numFmtId="0" fontId="6" fillId="4" borderId="1" xfId="0" quotePrefix="1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1" fontId="27" fillId="0" borderId="1" xfId="0" applyNumberFormat="1" applyFont="1" applyBorder="1"/>
    <xf numFmtId="1" fontId="27" fillId="7" borderId="1" xfId="0" applyNumberFormat="1" applyFont="1" applyFill="1" applyBorder="1"/>
    <xf numFmtId="0" fontId="16" fillId="2" borderId="1" xfId="11" applyFont="1" applyFill="1" applyBorder="1" applyAlignment="1">
      <alignment horizontal="center" vertical="center"/>
    </xf>
    <xf numFmtId="41" fontId="16" fillId="3" borderId="1" xfId="1" applyFont="1" applyFill="1" applyBorder="1" applyAlignment="1">
      <alignment horizontal="center" vertical="center"/>
    </xf>
    <xf numFmtId="41" fontId="16" fillId="3" borderId="1" xfId="11" applyNumberFormat="1" applyFont="1" applyFill="1" applyBorder="1" applyAlignment="1">
      <alignment horizontal="center"/>
    </xf>
    <xf numFmtId="0" fontId="30" fillId="3" borderId="20" xfId="0" applyFont="1" applyFill="1" applyBorder="1"/>
    <xf numFmtId="3" fontId="30" fillId="2" borderId="21" xfId="0" applyNumberFormat="1" applyFont="1" applyFill="1" applyBorder="1" applyAlignment="1">
      <alignment horizontal="right"/>
    </xf>
    <xf numFmtId="0" fontId="30" fillId="2" borderId="21" xfId="0" applyFont="1" applyFill="1" applyBorder="1" applyAlignment="1">
      <alignment horizontal="right"/>
    </xf>
    <xf numFmtId="0" fontId="14" fillId="3" borderId="1" xfId="11" applyFont="1" applyFill="1" applyBorder="1" applyAlignment="1">
      <alignment horizontal="center" vertical="center"/>
    </xf>
    <xf numFmtId="0" fontId="5" fillId="3" borderId="1" xfId="0" applyFont="1" applyFill="1" applyBorder="1"/>
    <xf numFmtId="0" fontId="12" fillId="2" borderId="0" xfId="0" applyFont="1" applyFill="1"/>
    <xf numFmtId="0" fontId="12" fillId="3" borderId="0" xfId="0" applyFont="1" applyFill="1"/>
    <xf numFmtId="0" fontId="5" fillId="0" borderId="1" xfId="0" applyFont="1" applyBorder="1"/>
    <xf numFmtId="0" fontId="28" fillId="2" borderId="1" xfId="0" applyFont="1" applyFill="1" applyBorder="1" applyAlignment="1">
      <alignment horizontal="right"/>
    </xf>
    <xf numFmtId="0" fontId="4" fillId="3" borderId="1" xfId="0" applyFont="1" applyFill="1" applyBorder="1"/>
    <xf numFmtId="0" fontId="3" fillId="11" borderId="1" xfId="0" applyFont="1" applyFill="1" applyBorder="1"/>
    <xf numFmtId="0" fontId="6" fillId="3" borderId="1" xfId="0" applyFont="1" applyFill="1" applyBorder="1"/>
    <xf numFmtId="0" fontId="2" fillId="3" borderId="1" xfId="0" applyFont="1" applyFill="1" applyBorder="1"/>
    <xf numFmtId="0" fontId="4" fillId="0" borderId="1" xfId="0" applyFont="1" applyBorder="1"/>
    <xf numFmtId="0" fontId="9" fillId="12" borderId="22" xfId="0" applyFont="1" applyFill="1" applyBorder="1" applyAlignment="1">
      <alignment horizontal="center" vertical="center"/>
    </xf>
    <xf numFmtId="0" fontId="31" fillId="2" borderId="1" xfId="0" applyFont="1" applyFill="1" applyBorder="1"/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/>
    </xf>
    <xf numFmtId="0" fontId="18" fillId="7" borderId="10" xfId="0" applyFont="1" applyFill="1" applyBorder="1" applyAlignment="1">
      <alignment vertical="top" wrapText="1"/>
    </xf>
    <xf numFmtId="3" fontId="12" fillId="13" borderId="10" xfId="0" applyNumberFormat="1" applyFont="1" applyFill="1" applyBorder="1" applyAlignment="1">
      <alignment horizontal="center"/>
    </xf>
    <xf numFmtId="0" fontId="16" fillId="7" borderId="10" xfId="0" applyFont="1" applyFill="1" applyBorder="1" applyAlignment="1">
      <alignment vertical="top" wrapText="1"/>
    </xf>
    <xf numFmtId="0" fontId="12" fillId="13" borderId="10" xfId="0" applyFont="1" applyFill="1" applyBorder="1" applyAlignment="1">
      <alignment horizontal="center"/>
    </xf>
    <xf numFmtId="3" fontId="24" fillId="13" borderId="10" xfId="0" applyNumberFormat="1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3" fontId="32" fillId="13" borderId="10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left"/>
    </xf>
    <xf numFmtId="41" fontId="16" fillId="7" borderId="1" xfId="11" applyNumberFormat="1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 vertical="top" wrapText="1"/>
    </xf>
    <xf numFmtId="0" fontId="16" fillId="7" borderId="10" xfId="0" applyFont="1" applyFill="1" applyBorder="1" applyAlignment="1">
      <alignment horizontal="left" vertical="top" wrapText="1"/>
    </xf>
    <xf numFmtId="0" fontId="1" fillId="3" borderId="1" xfId="0" applyFont="1" applyFill="1" applyBorder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5" fillId="0" borderId="0" xfId="0" applyFont="1"/>
    <xf numFmtId="171" fontId="0" fillId="0" borderId="0" xfId="0" applyNumberFormat="1" applyAlignment="1">
      <alignment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171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0" fontId="33" fillId="14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171" fontId="33" fillId="14" borderId="0" xfId="0" applyNumberFormat="1" applyFont="1" applyFill="1" applyAlignment="1">
      <alignment vertical="center"/>
    </xf>
    <xf numFmtId="3" fontId="14" fillId="0" borderId="0" xfId="0" applyNumberFormat="1" applyFont="1"/>
    <xf numFmtId="0" fontId="12" fillId="0" borderId="0" xfId="0" applyFont="1" applyAlignment="1">
      <alignment horizontal="center" vertical="center"/>
    </xf>
    <xf numFmtId="0" fontId="30" fillId="2" borderId="18" xfId="0" applyFont="1" applyFill="1" applyBorder="1" applyAlignment="1">
      <alignment horizontal="center"/>
    </xf>
    <xf numFmtId="0" fontId="30" fillId="2" borderId="19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</cellXfs>
  <cellStyles count="25">
    <cellStyle name="Comma [0]" xfId="1" builtinId="6"/>
    <cellStyle name="Comma [0] 2" xfId="2" xr:uid="{00000000-0005-0000-0000-000001000000}"/>
    <cellStyle name="Comma [0] 2 2" xfId="18" xr:uid="{00000000-0005-0000-0000-000002000000}"/>
    <cellStyle name="Comma [0] 3" xfId="3" xr:uid="{00000000-0005-0000-0000-000003000000}"/>
    <cellStyle name="Comma [0] 3 2" xfId="23" xr:uid="{00000000-0005-0000-0000-000004000000}"/>
    <cellStyle name="Comma [0] 4" xfId="15" xr:uid="{00000000-0005-0000-0000-000005000000}"/>
    <cellStyle name="Comma 4" xfId="4" xr:uid="{00000000-0005-0000-0000-000006000000}"/>
    <cellStyle name="Comma 4 2" xfId="16" xr:uid="{00000000-0005-0000-0000-000007000000}"/>
    <cellStyle name="Currency [0] 2" xfId="5" xr:uid="{00000000-0005-0000-0000-000008000000}"/>
    <cellStyle name="Currency [0] 2 2" xfId="24" xr:uid="{00000000-0005-0000-0000-000009000000}"/>
    <cellStyle name="Normal" xfId="0" builtinId="0"/>
    <cellStyle name="Normal 2" xfId="6" xr:uid="{00000000-0005-0000-0000-00000B000000}"/>
    <cellStyle name="Normal 2 2" xfId="7" xr:uid="{00000000-0005-0000-0000-00000C000000}"/>
    <cellStyle name="Normal 2 2 2" xfId="19" xr:uid="{00000000-0005-0000-0000-00000D000000}"/>
    <cellStyle name="Normal 2 3 2" xfId="8" xr:uid="{00000000-0005-0000-0000-00000E000000}"/>
    <cellStyle name="Normal 2 3 2 2" xfId="9" xr:uid="{00000000-0005-0000-0000-00000F000000}"/>
    <cellStyle name="Normal 2 3 2 2 2" xfId="20" xr:uid="{00000000-0005-0000-0000-000010000000}"/>
    <cellStyle name="Normal 2 3 2 3" xfId="17" xr:uid="{00000000-0005-0000-0000-000011000000}"/>
    <cellStyle name="Normal 3" xfId="14" xr:uid="{00000000-0005-0000-0000-000012000000}"/>
    <cellStyle name="Normal 3 3" xfId="10" xr:uid="{00000000-0005-0000-0000-000013000000}"/>
    <cellStyle name="Normal 3 3 2" xfId="21" xr:uid="{00000000-0005-0000-0000-000014000000}"/>
    <cellStyle name="Normal 4" xfId="11" xr:uid="{00000000-0005-0000-0000-000015000000}"/>
    <cellStyle name="Normal 4 4" xfId="12" xr:uid="{00000000-0005-0000-0000-000016000000}"/>
    <cellStyle name="常规 9 2" xfId="13" xr:uid="{00000000-0005-0000-0000-000017000000}"/>
    <cellStyle name="常规 9 2 2" xfId="22" xr:uid="{00000000-0005-0000-0000-000018000000}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688930</xdr:colOff>
      <xdr:row>331</xdr:row>
      <xdr:rowOff>62632</xdr:rowOff>
    </xdr:from>
    <xdr:to>
      <xdr:col>1</xdr:col>
      <xdr:colOff>2630632</xdr:colOff>
      <xdr:row>337</xdr:row>
      <xdr:rowOff>93946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8256B-C437-3B50-2458-3680A221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56" b="89431" l="9545" r="90000">
                      <a14:foregroundMark x1="9545" y1="70732" x2="9545" y2="70732"/>
                      <a14:foregroundMark x1="53636" y1="74797" x2="53636" y2="74797"/>
                      <a14:foregroundMark x1="9091" y1="79675" x2="9091" y2="79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725" y="59582139"/>
          <a:ext cx="1941702" cy="1085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584547</xdr:colOff>
      <xdr:row>331</xdr:row>
      <xdr:rowOff>83507</xdr:rowOff>
    </xdr:from>
    <xdr:to>
      <xdr:col>1</xdr:col>
      <xdr:colOff>2526249</xdr:colOff>
      <xdr:row>337</xdr:row>
      <xdr:rowOff>114821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4EAB55-54CC-4581-8EFF-D08A6183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56" b="89431" l="9545" r="90000">
                      <a14:foregroundMark x1="9545" y1="70732" x2="9545" y2="70732"/>
                      <a14:foregroundMark x1="53636" y1="74797" x2="53636" y2="74797"/>
                      <a14:foregroundMark x1="9091" y1="79675" x2="9091" y2="79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342" y="59331617"/>
          <a:ext cx="1941702" cy="1085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%20YOFC\Downloads\Permit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or"/>
      <sheetName val="Vendor List"/>
      <sheetName val="Tax Team's"/>
      <sheetName val="Sheet1"/>
    </sheetNames>
    <sheetDataSet>
      <sheetData sheetId="0"/>
      <sheetData sheetId="1">
        <row r="2">
          <cell r="A2" t="str">
            <v>Abel Putra Tohera</v>
          </cell>
          <cell r="B2">
            <v>2.6499999999999999E-2</v>
          </cell>
        </row>
        <row r="3">
          <cell r="A3" t="str">
            <v>Abhimata Citra Abadi</v>
          </cell>
          <cell r="B3">
            <v>2.6499999999999999E-2</v>
          </cell>
        </row>
        <row r="4">
          <cell r="A4" t="str">
            <v>Adyawinsa Telecommunication &amp; Electrical</v>
          </cell>
          <cell r="B4">
            <v>2.6499999999999999E-2</v>
          </cell>
        </row>
        <row r="5">
          <cell r="A5" t="str">
            <v>Aliansi Inovasi Global</v>
          </cell>
          <cell r="B5">
            <v>0.04</v>
          </cell>
        </row>
        <row r="6">
          <cell r="A6" t="str">
            <v>Alita Praya Mitra</v>
          </cell>
          <cell r="B6">
            <v>2.6499999999999999E-2</v>
          </cell>
        </row>
        <row r="7">
          <cell r="A7" t="str">
            <v>Amarta Jaya Telekomindo</v>
          </cell>
          <cell r="B7">
            <v>1.7500000000000002E-2</v>
          </cell>
        </row>
        <row r="8">
          <cell r="A8" t="str">
            <v>Amira Mitra Persada</v>
          </cell>
          <cell r="B8">
            <v>1.7500000000000002E-2</v>
          </cell>
        </row>
        <row r="9">
          <cell r="A9" t="str">
            <v>Anugerah Terang Persada</v>
          </cell>
          <cell r="B9">
            <v>1.7500000000000002E-2</v>
          </cell>
        </row>
        <row r="10">
          <cell r="A10" t="str">
            <v>Armada Bahtera Internasional</v>
          </cell>
          <cell r="B10">
            <v>1.7500000000000002E-2</v>
          </cell>
        </row>
        <row r="11">
          <cell r="A11" t="str">
            <v>Arya Satya Mandiri</v>
          </cell>
          <cell r="B11">
            <v>1.7500000000000002E-2</v>
          </cell>
        </row>
        <row r="12">
          <cell r="A12" t="str">
            <v>Atila Putra Jaya</v>
          </cell>
          <cell r="B12">
            <v>0.04</v>
          </cell>
        </row>
        <row r="13">
          <cell r="A13" t="str">
            <v>Atori Kreasi</v>
          </cell>
          <cell r="B13">
            <v>1.7500000000000002E-2</v>
          </cell>
        </row>
        <row r="14">
          <cell r="A14" t="str">
            <v>Audi Technology Indonesia</v>
          </cell>
          <cell r="B14">
            <v>1.7500000000000002E-2</v>
          </cell>
        </row>
        <row r="15">
          <cell r="A15" t="str">
            <v>Aurora Mulia Sambaru</v>
          </cell>
          <cell r="B15">
            <v>1.7500000000000002E-2</v>
          </cell>
        </row>
        <row r="16">
          <cell r="A16" t="str">
            <v>Buana Menara Indonesia</v>
          </cell>
          <cell r="B16">
            <v>1.7500000000000002E-2</v>
          </cell>
        </row>
        <row r="17">
          <cell r="A17" t="str">
            <v>Bukit Bima Batara</v>
          </cell>
          <cell r="B17">
            <v>1.7500000000000002E-2</v>
          </cell>
        </row>
        <row r="18">
          <cell r="A18" t="str">
            <v>Cahaya Arif Abadi</v>
          </cell>
          <cell r="B18">
            <v>0.04</v>
          </cell>
        </row>
        <row r="19">
          <cell r="A19" t="str">
            <v>Cakrawala Energi Nusantara</v>
          </cell>
          <cell r="B19">
            <v>2.6499999999999999E-2</v>
          </cell>
        </row>
        <row r="20">
          <cell r="A20" t="str">
            <v>Cipta Dekor Indah</v>
          </cell>
          <cell r="B20">
            <v>0.04</v>
          </cell>
        </row>
        <row r="21">
          <cell r="A21" t="str">
            <v>Cipta Karya Komputer</v>
          </cell>
          <cell r="B21">
            <v>2.6499999999999999E-2</v>
          </cell>
        </row>
        <row r="22">
          <cell r="A22" t="str">
            <v>Citra Telinti Mulia</v>
          </cell>
          <cell r="B22">
            <v>0.04</v>
          </cell>
        </row>
        <row r="23">
          <cell r="A23" t="str">
            <v>Continental Power</v>
          </cell>
          <cell r="B23">
            <v>1.7500000000000002E-2</v>
          </cell>
        </row>
        <row r="24">
          <cell r="A24" t="str">
            <v>Daya Perkasa Abadi</v>
          </cell>
          <cell r="B24">
            <v>0.04</v>
          </cell>
        </row>
        <row r="25">
          <cell r="A25" t="str">
            <v>Dharma Budi Indonesia</v>
          </cell>
          <cell r="B25">
            <v>0.04</v>
          </cell>
        </row>
        <row r="26">
          <cell r="A26" t="str">
            <v>Digital Solusindo Bestama</v>
          </cell>
          <cell r="B26">
            <v>0.04</v>
          </cell>
        </row>
        <row r="27">
          <cell r="A27" t="str">
            <v>Dua Putra Cemerlang Utama</v>
          </cell>
          <cell r="B27">
            <v>0.04</v>
          </cell>
        </row>
        <row r="28">
          <cell r="A28" t="str">
            <v>Duta Hita Jaya</v>
          </cell>
          <cell r="B28">
            <v>0</v>
          </cell>
        </row>
        <row r="29">
          <cell r="A29" t="str">
            <v>Era Data System</v>
          </cell>
          <cell r="B29">
            <v>0.04</v>
          </cell>
        </row>
        <row r="30">
          <cell r="A30" t="str">
            <v>Evantama Network System</v>
          </cell>
          <cell r="B30">
            <v>2.6499999999999999E-2</v>
          </cell>
        </row>
        <row r="31">
          <cell r="A31" t="str">
            <v>Farradiba Charza Network</v>
          </cell>
          <cell r="B31">
            <v>1.7500000000000002E-2</v>
          </cell>
        </row>
        <row r="32">
          <cell r="A32" t="str">
            <v>Fiber Telekomunikasi Indonesia</v>
          </cell>
          <cell r="B32">
            <v>2.6499999999999999E-2</v>
          </cell>
        </row>
        <row r="33">
          <cell r="A33" t="str">
            <v>FiberHome Technologies Indonesia</v>
          </cell>
          <cell r="B33">
            <v>0.04</v>
          </cell>
        </row>
        <row r="34">
          <cell r="A34" t="str">
            <v>Gamatech Solusi Mandiri</v>
          </cell>
          <cell r="B34">
            <v>0.04</v>
          </cell>
        </row>
        <row r="35">
          <cell r="A35" t="str">
            <v>Genesis Berkat Usaha</v>
          </cell>
          <cell r="B35">
            <v>0.04</v>
          </cell>
        </row>
        <row r="36">
          <cell r="A36" t="str">
            <v>Gerak Puncak Lancar</v>
          </cell>
          <cell r="B36">
            <v>0</v>
          </cell>
        </row>
        <row r="37">
          <cell r="A37" t="str">
            <v>Global Water Engineering</v>
          </cell>
          <cell r="B37">
            <v>0</v>
          </cell>
        </row>
        <row r="38">
          <cell r="A38" t="str">
            <v>Graha Kabelindo</v>
          </cell>
          <cell r="B38">
            <v>1.7500000000000002E-2</v>
          </cell>
        </row>
        <row r="39">
          <cell r="A39" t="str">
            <v>Huawei Tech Investment</v>
          </cell>
          <cell r="B39">
            <v>2.6499999999999999E-2</v>
          </cell>
        </row>
        <row r="40">
          <cell r="A40" t="str">
            <v>Immobi Solusi Prima</v>
          </cell>
          <cell r="B40">
            <v>1.7500000000000002E-2</v>
          </cell>
        </row>
        <row r="41">
          <cell r="A41" t="str">
            <v>Indonesia Teknologi Baru</v>
          </cell>
          <cell r="B41">
            <v>1.7500000000000002E-2</v>
          </cell>
        </row>
        <row r="42">
          <cell r="A42" t="str">
            <v>Indotunas Makmur</v>
          </cell>
          <cell r="B42">
            <v>0.04</v>
          </cell>
        </row>
        <row r="43">
          <cell r="A43" t="str">
            <v>Infitech Solusi Indonesia</v>
          </cell>
          <cell r="B43">
            <v>1.7500000000000002E-2</v>
          </cell>
        </row>
        <row r="44">
          <cell r="A44" t="str">
            <v>Integrasi Neka Optik</v>
          </cell>
          <cell r="B44">
            <v>1.7500000000000002E-2</v>
          </cell>
        </row>
        <row r="45">
          <cell r="A45" t="str">
            <v>Itra Kelana Jaya</v>
          </cell>
          <cell r="B45">
            <v>0.04</v>
          </cell>
        </row>
        <row r="46">
          <cell r="A46" t="str">
            <v>Jangkar Sejati Utama</v>
          </cell>
          <cell r="B46">
            <v>2.6499999999999999E-2</v>
          </cell>
        </row>
        <row r="47">
          <cell r="A47" t="str">
            <v>JIG Nusantara Persada</v>
          </cell>
          <cell r="B47">
            <v>1.7500000000000002E-2</v>
          </cell>
        </row>
        <row r="48">
          <cell r="A48" t="str">
            <v>Kanza Elok Nusantara</v>
          </cell>
          <cell r="B48">
            <v>1.7500000000000002E-2</v>
          </cell>
        </row>
        <row r="49">
          <cell r="A49" t="str">
            <v>Karunia Indah Cahaya</v>
          </cell>
          <cell r="B49">
            <v>1.7500000000000002E-2</v>
          </cell>
        </row>
        <row r="50">
          <cell r="A50" t="str">
            <v>Kautsar Jaya Pertama</v>
          </cell>
          <cell r="B50">
            <v>0.04</v>
          </cell>
        </row>
        <row r="51">
          <cell r="A51" t="str">
            <v>Karya Indah (Global Engineering)</v>
          </cell>
          <cell r="B51">
            <v>0.04</v>
          </cell>
        </row>
        <row r="52">
          <cell r="A52" t="str">
            <v>Karya Indah Utama Engineering</v>
          </cell>
          <cell r="B52">
            <v>0.04</v>
          </cell>
        </row>
        <row r="53">
          <cell r="A53" t="str">
            <v>Konten Indomedia Pratama</v>
          </cell>
          <cell r="B53">
            <v>0.04</v>
          </cell>
        </row>
        <row r="54">
          <cell r="A54" t="str">
            <v>Krakatoa Pradaswara</v>
          </cell>
          <cell r="B54">
            <v>1.7500000000000002E-2</v>
          </cell>
        </row>
        <row r="55">
          <cell r="A55" t="str">
            <v>Libema Batara Mulia</v>
          </cell>
          <cell r="B55">
            <v>0.04</v>
          </cell>
        </row>
        <row r="56">
          <cell r="A56" t="str">
            <v>Lembah Serayu</v>
          </cell>
          <cell r="B56">
            <v>0.04</v>
          </cell>
        </row>
        <row r="57">
          <cell r="A57" t="str">
            <v>Magna Energi Indonusa</v>
          </cell>
          <cell r="B57">
            <v>1.7500000000000002E-2</v>
          </cell>
        </row>
        <row r="58">
          <cell r="A58" t="str">
            <v>Maju Jaya Teknologi</v>
          </cell>
          <cell r="B58">
            <v>2.6499999999999999E-2</v>
          </cell>
        </row>
        <row r="59">
          <cell r="A59" t="str">
            <v>Malaka Herka Karya</v>
          </cell>
          <cell r="B59">
            <v>0.04</v>
          </cell>
        </row>
        <row r="60">
          <cell r="A60" t="str">
            <v>Merbau Prima Sakti</v>
          </cell>
          <cell r="B60">
            <v>2.6499999999999999E-2</v>
          </cell>
        </row>
        <row r="61">
          <cell r="A61" t="str">
            <v>Meyer Nagata Indonesia</v>
          </cell>
          <cell r="B61">
            <v>1.7500000000000002E-2</v>
          </cell>
        </row>
        <row r="62">
          <cell r="A62" t="str">
            <v>Mitra Digital Globalindo</v>
          </cell>
          <cell r="B62">
            <v>2.6499999999999999E-2</v>
          </cell>
        </row>
        <row r="63">
          <cell r="A63" t="str">
            <v>Mitra Jaringan Prima</v>
          </cell>
          <cell r="B63">
            <v>0.04</v>
          </cell>
        </row>
        <row r="64">
          <cell r="A64" t="str">
            <v>Mitra Sinergi Adhitama</v>
          </cell>
          <cell r="B64">
            <v>2.6499999999999999E-2</v>
          </cell>
        </row>
        <row r="65">
          <cell r="A65" t="str">
            <v>Mitratama Cakra Cipta</v>
          </cell>
          <cell r="B65">
            <v>2.6499999999999999E-2</v>
          </cell>
        </row>
        <row r="66">
          <cell r="A66" t="str">
            <v>Morasha Inti Shabira</v>
          </cell>
          <cell r="B66">
            <v>1.7500000000000002E-2</v>
          </cell>
        </row>
        <row r="67">
          <cell r="A67" t="str">
            <v>Neora Infrastructure Indonesia</v>
          </cell>
          <cell r="B67">
            <v>1.7500000000000002E-2</v>
          </cell>
        </row>
        <row r="68">
          <cell r="A68" t="str">
            <v>Pancar Mutiara Jaya</v>
          </cell>
          <cell r="B68">
            <v>1.7500000000000002E-2</v>
          </cell>
        </row>
        <row r="69">
          <cell r="A69" t="str">
            <v>Prasetia Dwidharma</v>
          </cell>
          <cell r="B69">
            <v>2.6499999999999999E-2</v>
          </cell>
        </row>
        <row r="70">
          <cell r="A70" t="str">
            <v>Prima Indo Sentosa</v>
          </cell>
          <cell r="B70">
            <v>1.7500000000000002E-2</v>
          </cell>
        </row>
        <row r="71">
          <cell r="A71" t="str">
            <v>Prima Mitratama Sejati</v>
          </cell>
          <cell r="B71">
            <v>1.7500000000000002E-2</v>
          </cell>
        </row>
        <row r="72">
          <cell r="A72" t="str">
            <v>Punggawa Utama</v>
          </cell>
          <cell r="B72">
            <v>0.04</v>
          </cell>
        </row>
        <row r="73">
          <cell r="A73" t="str">
            <v>Quantum Nusatama</v>
          </cell>
          <cell r="B73">
            <v>2.6499999999999999E-2</v>
          </cell>
        </row>
        <row r="74">
          <cell r="A74" t="str">
            <v>Rekadaya Jaringan Telekomunikasi</v>
          </cell>
          <cell r="B74">
            <v>0.04</v>
          </cell>
        </row>
        <row r="75">
          <cell r="A75" t="str">
            <v>Rekatama Solusindo</v>
          </cell>
          <cell r="B75">
            <v>1.7500000000000002E-2</v>
          </cell>
        </row>
        <row r="76">
          <cell r="A76" t="str">
            <v>Rirara Generasi Cemerlang</v>
          </cell>
          <cell r="B76">
            <v>0.04</v>
          </cell>
        </row>
        <row r="77">
          <cell r="A77" t="str">
            <v>Rona Persada Angkasa</v>
          </cell>
          <cell r="B77">
            <v>2.6499999999999999E-2</v>
          </cell>
        </row>
        <row r="78">
          <cell r="A78" t="str">
            <v>Sanatel</v>
          </cell>
          <cell r="B78">
            <v>0.04</v>
          </cell>
        </row>
        <row r="79">
          <cell r="A79" t="str">
            <v>Sapta Meta Digital</v>
          </cell>
          <cell r="B79">
            <v>0.04</v>
          </cell>
        </row>
        <row r="80">
          <cell r="A80" t="str">
            <v>Saputra Global Nusantara</v>
          </cell>
          <cell r="B80">
            <v>1.7500000000000002E-2</v>
          </cell>
        </row>
        <row r="81">
          <cell r="A81" t="str">
            <v>Siarbad Mandiri Jaya</v>
          </cell>
          <cell r="B81">
            <v>1.7500000000000002E-2</v>
          </cell>
        </row>
        <row r="82">
          <cell r="A82" t="str">
            <v>Sintata Karyasari</v>
          </cell>
          <cell r="B82">
            <v>1.7500000000000002E-2</v>
          </cell>
        </row>
        <row r="83">
          <cell r="A83" t="str">
            <v>Siscom Technologies</v>
          </cell>
          <cell r="B83">
            <v>2.6499999999999999E-2</v>
          </cell>
        </row>
        <row r="84">
          <cell r="A84" t="str">
            <v>Solusi Hasil Usaha</v>
          </cell>
          <cell r="B84">
            <v>1.7500000000000002E-2</v>
          </cell>
        </row>
        <row r="85">
          <cell r="A85" t="str">
            <v>Step Point Indonesia</v>
          </cell>
          <cell r="B85">
            <v>0.04</v>
          </cell>
        </row>
        <row r="86">
          <cell r="A86" t="str">
            <v>Surya Cipta Permata</v>
          </cell>
          <cell r="B86">
            <v>0.04</v>
          </cell>
        </row>
        <row r="87">
          <cell r="A87" t="str">
            <v>Tujuh Sinar Abadi</v>
          </cell>
          <cell r="B87">
            <v>0.04</v>
          </cell>
        </row>
        <row r="88">
          <cell r="A88" t="str">
            <v>Tri Murti Abyudaya</v>
          </cell>
          <cell r="B88">
            <v>0.04</v>
          </cell>
        </row>
        <row r="89">
          <cell r="A89" t="str">
            <v>Wira Eka Bhakti</v>
          </cell>
          <cell r="B89">
            <v>0.04</v>
          </cell>
        </row>
        <row r="90">
          <cell r="A90" t="str">
            <v>YOFC International Indonesia</v>
          </cell>
          <cell r="B90">
            <v>2.6499999999999999E-2</v>
          </cell>
        </row>
        <row r="91">
          <cell r="A91" t="str">
            <v>ZTE Indonesia</v>
          </cell>
          <cell r="B91">
            <v>2.6499999999999999E-2</v>
          </cell>
        </row>
      </sheetData>
      <sheetData sheetId="2"/>
      <sheetData sheetId="3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314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F6" sqref="F6"/>
    </sheetView>
  </sheetViews>
  <sheetFormatPr defaultRowHeight="15"/>
  <cols>
    <col min="1" max="1" width="18.5703125" bestFit="1" customWidth="1"/>
    <col min="2" max="2" width="29.85546875" customWidth="1"/>
  </cols>
  <sheetData>
    <row r="1" spans="1:2" ht="15.75" thickBot="1">
      <c r="A1" s="327" t="s">
        <v>780</v>
      </c>
      <c r="B1" s="328"/>
    </row>
    <row r="2" spans="1:2" ht="15.75" thickBot="1">
      <c r="A2" s="279" t="s">
        <v>778</v>
      </c>
      <c r="B2" s="280">
        <v>7650000</v>
      </c>
    </row>
    <row r="3" spans="1:2" ht="15.75" thickBot="1">
      <c r="A3" s="279" t="s">
        <v>779</v>
      </c>
      <c r="B3" s="281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9"/>
  <sheetViews>
    <sheetView tabSelected="1" zoomScaleNormal="100" workbookViewId="0">
      <pane ySplit="6" topLeftCell="A7" activePane="bottomLeft" state="frozen"/>
      <selection activeCell="D16" sqref="D16"/>
      <selection pane="bottomLeft" activeCell="H18" sqref="H18"/>
    </sheetView>
  </sheetViews>
  <sheetFormatPr defaultColWidth="6" defaultRowHeight="12.75"/>
  <cols>
    <col min="1" max="1" width="11.42578125" style="14" customWidth="1"/>
    <col min="2" max="2" width="81.5703125" style="12" customWidth="1"/>
    <col min="3" max="3" width="10.7109375" style="12" bestFit="1" customWidth="1"/>
    <col min="4" max="4" width="11.140625" style="15" bestFit="1" customWidth="1"/>
    <col min="5" max="5" width="14.42578125" style="15" bestFit="1" customWidth="1"/>
    <col min="6" max="6" width="12" style="12" bestFit="1" customWidth="1"/>
    <col min="7" max="7" width="11.140625" style="12" bestFit="1" customWidth="1"/>
    <col min="8" max="8" width="16.5703125" style="12" bestFit="1" customWidth="1"/>
    <col min="9" max="9" width="15.5703125" style="12" bestFit="1" customWidth="1"/>
    <col min="10" max="10" width="9.42578125" style="14" bestFit="1" customWidth="1"/>
    <col min="11" max="11" width="7.28515625" style="16" customWidth="1"/>
    <col min="12" max="12" width="10.5703125" style="16" bestFit="1" customWidth="1"/>
    <col min="13" max="13" width="16.85546875" style="12" bestFit="1" customWidth="1"/>
    <col min="14" max="14" width="22.5703125" style="12" bestFit="1" customWidth="1"/>
    <col min="15" max="15" width="41.28515625" style="12" bestFit="1" customWidth="1"/>
    <col min="16" max="16" width="8.28515625" style="12" bestFit="1" customWidth="1"/>
    <col min="17" max="17" width="36.28515625" style="17" bestFit="1" customWidth="1"/>
    <col min="18" max="18" width="6" style="17"/>
    <col min="19" max="19" width="29.5703125" style="17" bestFit="1" customWidth="1"/>
    <col min="20" max="20" width="8.28515625" style="17" bestFit="1" customWidth="1"/>
    <col min="21" max="28" width="6" style="17"/>
    <col min="29" max="16384" width="6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2"/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2" t="s">
        <v>864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777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2">
        <v>118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 t="s">
        <v>21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294" t="s">
        <v>804</v>
      </c>
      <c r="C8" s="40" t="s">
        <v>26</v>
      </c>
      <c r="D8" s="41"/>
      <c r="E8" s="277">
        <v>1</v>
      </c>
      <c r="F8" s="42"/>
      <c r="G8" s="43"/>
      <c r="H8" s="44"/>
      <c r="I8" s="44"/>
      <c r="J8" s="44"/>
      <c r="K8" s="41"/>
      <c r="L8" s="90">
        <f>F8+G8</f>
        <v>0</v>
      </c>
      <c r="M8" s="67"/>
      <c r="N8" s="293">
        <v>500004774</v>
      </c>
      <c r="O8" s="92" t="s">
        <v>803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7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>
        <f>SUM(H8:H8)</f>
        <v>0</v>
      </c>
      <c r="I10" s="93">
        <f>SUM(I8:I8)</f>
        <v>0</v>
      </c>
      <c r="J10" s="94">
        <f>H10+I10</f>
        <v>0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7">
        <f>E16</f>
        <v>1276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1276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7">
        <f>SUM('BoM AE'!C16:C19)</f>
        <v>1276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1276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277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277">
        <f>SUM('BoM AE'!C20:C23)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77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77">
        <f>SUM('BoM AE'!C24:C27)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/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/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41"/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41"/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41"/>
      <c r="E25" s="41"/>
      <c r="F25" s="68"/>
      <c r="G25" s="68"/>
      <c r="H25" s="41">
        <f t="shared" ref="H25:I73" si="3">D25*F25</f>
        <v>0</v>
      </c>
      <c r="I25" s="41">
        <f t="shared" si="3"/>
        <v>0</v>
      </c>
      <c r="J25" s="41"/>
      <c r="K25" s="41">
        <f t="shared" ref="K25:K78" si="4">D25+E25</f>
        <v>0</v>
      </c>
      <c r="L25" s="41">
        <f t="shared" ref="L25:L78" si="5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41"/>
      <c r="F26" s="68"/>
      <c r="G26" s="68"/>
      <c r="H26" s="41">
        <f t="shared" si="3"/>
        <v>0</v>
      </c>
      <c r="I26" s="41">
        <f t="shared" si="3"/>
        <v>0</v>
      </c>
      <c r="J26" s="41"/>
      <c r="K26" s="41">
        <f t="shared" si="4"/>
        <v>0</v>
      </c>
      <c r="L26" s="41">
        <f t="shared" si="5"/>
        <v>0</v>
      </c>
      <c r="M26" s="156"/>
      <c r="N26" s="101">
        <v>500002088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/>
      <c r="E27" s="41"/>
      <c r="F27" s="68"/>
      <c r="G27" s="68"/>
      <c r="H27" s="41">
        <f t="shared" si="3"/>
        <v>0</v>
      </c>
      <c r="I27" s="41">
        <f t="shared" si="3"/>
        <v>0</v>
      </c>
      <c r="J27" s="41"/>
      <c r="K27" s="41">
        <f t="shared" si="4"/>
        <v>0</v>
      </c>
      <c r="L27" s="41">
        <f t="shared" si="5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>
      <c r="A28" s="38"/>
      <c r="B28" s="66" t="s">
        <v>66</v>
      </c>
      <c r="C28" s="40" t="s">
        <v>38</v>
      </c>
      <c r="D28" s="41"/>
      <c r="E28" s="41"/>
      <c r="F28" s="68"/>
      <c r="G28" s="68"/>
      <c r="H28" s="41">
        <f t="shared" si="3"/>
        <v>0</v>
      </c>
      <c r="I28" s="41">
        <f t="shared" si="3"/>
        <v>0</v>
      </c>
      <c r="J28" s="41"/>
      <c r="K28" s="41">
        <f t="shared" si="4"/>
        <v>0</v>
      </c>
      <c r="L28" s="41">
        <f t="shared" si="5"/>
        <v>0</v>
      </c>
      <c r="M28" s="156"/>
      <c r="N28" s="101">
        <v>500002089</v>
      </c>
      <c r="O28" s="102" t="s">
        <v>68</v>
      </c>
      <c r="P28" s="67" t="s">
        <v>23</v>
      </c>
      <c r="Q28" s="119" t="s">
        <v>29</v>
      </c>
      <c r="R28" s="112"/>
    </row>
    <row r="29" spans="1:18">
      <c r="A29" s="38"/>
      <c r="B29" s="295" t="s">
        <v>805</v>
      </c>
      <c r="C29" s="296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6">
        <v>200002668</v>
      </c>
      <c r="O29" s="295" t="s">
        <v>817</v>
      </c>
      <c r="P29" s="298" t="s">
        <v>28</v>
      </c>
      <c r="Q29" s="119"/>
      <c r="R29" s="112"/>
    </row>
    <row r="30" spans="1:18">
      <c r="A30" s="38"/>
      <c r="B30" s="295" t="s">
        <v>806</v>
      </c>
      <c r="C30" s="296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6">
        <v>500004722</v>
      </c>
      <c r="O30" s="295" t="s">
        <v>818</v>
      </c>
      <c r="P30" s="298" t="s">
        <v>23</v>
      </c>
      <c r="Q30" s="119"/>
      <c r="R30" s="112"/>
    </row>
    <row r="31" spans="1:18">
      <c r="A31" s="38"/>
      <c r="B31" s="295" t="s">
        <v>807</v>
      </c>
      <c r="C31" s="296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6">
        <v>200002669</v>
      </c>
      <c r="O31" s="295" t="s">
        <v>819</v>
      </c>
      <c r="P31" s="298" t="s">
        <v>28</v>
      </c>
      <c r="Q31" s="119"/>
      <c r="R31" s="112"/>
    </row>
    <row r="32" spans="1:18">
      <c r="A32" s="38"/>
      <c r="B32" s="295" t="s">
        <v>808</v>
      </c>
      <c r="C32" s="296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6">
        <v>500004723</v>
      </c>
      <c r="O32" s="295" t="s">
        <v>820</v>
      </c>
      <c r="P32" s="298" t="s">
        <v>23</v>
      </c>
      <c r="Q32" s="119"/>
      <c r="R32" s="112"/>
    </row>
    <row r="33" spans="1:18">
      <c r="A33" s="38"/>
      <c r="B33" s="295" t="s">
        <v>809</v>
      </c>
      <c r="C33" s="296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6">
        <v>200002670</v>
      </c>
      <c r="O33" s="295" t="s">
        <v>821</v>
      </c>
      <c r="P33" s="298" t="s">
        <v>28</v>
      </c>
      <c r="Q33" s="119"/>
      <c r="R33" s="112"/>
    </row>
    <row r="34" spans="1:18">
      <c r="A34" s="38"/>
      <c r="B34" s="295" t="s">
        <v>810</v>
      </c>
      <c r="C34" s="296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6">
        <v>500004724</v>
      </c>
      <c r="O34" s="295" t="s">
        <v>822</v>
      </c>
      <c r="P34" s="298" t="s">
        <v>23</v>
      </c>
      <c r="Q34" s="119"/>
      <c r="R34" s="112"/>
    </row>
    <row r="35" spans="1:18">
      <c r="A35" s="38"/>
      <c r="B35" s="295" t="s">
        <v>811</v>
      </c>
      <c r="C35" s="296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6">
        <v>200002671</v>
      </c>
      <c r="O35" s="295" t="s">
        <v>823</v>
      </c>
      <c r="P35" s="298" t="s">
        <v>28</v>
      </c>
      <c r="Q35" s="119"/>
      <c r="R35" s="112"/>
    </row>
    <row r="36" spans="1:18">
      <c r="A36" s="38"/>
      <c r="B36" s="295" t="s">
        <v>812</v>
      </c>
      <c r="C36" s="296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6">
        <v>500004725</v>
      </c>
      <c r="O36" s="295" t="s">
        <v>824</v>
      </c>
      <c r="P36" s="298" t="s">
        <v>23</v>
      </c>
      <c r="Q36" s="119"/>
      <c r="R36" s="112"/>
    </row>
    <row r="37" spans="1:18">
      <c r="A37" s="38"/>
      <c r="B37" s="299" t="s">
        <v>813</v>
      </c>
      <c r="C37" s="296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06">
        <v>200002713</v>
      </c>
      <c r="O37" s="299" t="s">
        <v>825</v>
      </c>
      <c r="P37" s="298" t="s">
        <v>28</v>
      </c>
      <c r="Q37" s="119"/>
      <c r="R37" s="112"/>
    </row>
    <row r="38" spans="1:18">
      <c r="A38" s="38"/>
      <c r="B38" s="299" t="s">
        <v>814</v>
      </c>
      <c r="C38" s="296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06">
        <v>500004777</v>
      </c>
      <c r="O38" s="299" t="s">
        <v>826</v>
      </c>
      <c r="P38" s="298" t="s">
        <v>23</v>
      </c>
      <c r="Q38" s="119"/>
      <c r="R38" s="112"/>
    </row>
    <row r="39" spans="1:18">
      <c r="A39" s="38"/>
      <c r="B39" s="299" t="s">
        <v>815</v>
      </c>
      <c r="C39" s="296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06">
        <v>200002714</v>
      </c>
      <c r="O39" s="299" t="s">
        <v>827</v>
      </c>
      <c r="P39" s="298" t="s">
        <v>28</v>
      </c>
      <c r="Q39" s="119"/>
      <c r="R39" s="112"/>
    </row>
    <row r="40" spans="1:18">
      <c r="A40" s="38"/>
      <c r="B40" s="299" t="s">
        <v>816</v>
      </c>
      <c r="C40" s="296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06">
        <v>500004778</v>
      </c>
      <c r="O40" s="299" t="s">
        <v>828</v>
      </c>
      <c r="P40" s="298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3"/>
        <v>0</v>
      </c>
      <c r="I41" s="41">
        <f t="shared" si="3"/>
        <v>0</v>
      </c>
      <c r="J41" s="41"/>
      <c r="K41" s="41">
        <f t="shared" si="4"/>
        <v>0</v>
      </c>
      <c r="L41" s="41">
        <f t="shared" si="5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>
        <f>E43</f>
        <v>1</v>
      </c>
      <c r="E42" s="41"/>
      <c r="F42" s="69"/>
      <c r="G42" s="68"/>
      <c r="H42" s="41">
        <f t="shared" si="3"/>
        <v>0</v>
      </c>
      <c r="I42" s="41">
        <f t="shared" si="3"/>
        <v>0</v>
      </c>
      <c r="J42" s="41"/>
      <c r="K42" s="41">
        <f t="shared" si="4"/>
        <v>1</v>
      </c>
      <c r="L42" s="41">
        <f t="shared" si="5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277">
        <f>'BoM AE'!C30</f>
        <v>1</v>
      </c>
      <c r="F43" s="68"/>
      <c r="G43" s="69"/>
      <c r="H43" s="41"/>
      <c r="I43" s="41">
        <f t="shared" si="3"/>
        <v>0</v>
      </c>
      <c r="J43" s="41"/>
      <c r="K43" s="41">
        <f t="shared" si="4"/>
        <v>1</v>
      </c>
      <c r="L43" s="41">
        <f t="shared" si="5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>
        <f>E45</f>
        <v>0</v>
      </c>
      <c r="E44" s="41"/>
      <c r="F44" s="69"/>
      <c r="G44" s="68"/>
      <c r="H44" s="41">
        <f t="shared" si="3"/>
        <v>0</v>
      </c>
      <c r="I44" s="41">
        <f t="shared" si="3"/>
        <v>0</v>
      </c>
      <c r="J44" s="41"/>
      <c r="K44" s="41">
        <f t="shared" si="4"/>
        <v>0</v>
      </c>
      <c r="L44" s="41">
        <f t="shared" si="5"/>
        <v>0</v>
      </c>
      <c r="M44" s="103"/>
      <c r="N44" s="101">
        <v>200001040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277">
        <f>'BoM AE'!C31</f>
        <v>0</v>
      </c>
      <c r="F45" s="68"/>
      <c r="G45" s="69"/>
      <c r="H45" s="41">
        <f t="shared" si="3"/>
        <v>0</v>
      </c>
      <c r="I45" s="41">
        <f t="shared" si="3"/>
        <v>0</v>
      </c>
      <c r="J45" s="41"/>
      <c r="K45" s="41">
        <f t="shared" si="4"/>
        <v>0</v>
      </c>
      <c r="L45" s="41">
        <f t="shared" si="5"/>
        <v>0</v>
      </c>
      <c r="M45" s="103"/>
      <c r="N45" s="101">
        <v>500002054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>
        <f>E47</f>
        <v>0</v>
      </c>
      <c r="E46" s="41"/>
      <c r="F46" s="68"/>
      <c r="G46" s="68"/>
      <c r="H46" s="41">
        <f t="shared" si="3"/>
        <v>0</v>
      </c>
      <c r="I46" s="41">
        <f t="shared" si="3"/>
        <v>0</v>
      </c>
      <c r="J46" s="41"/>
      <c r="K46" s="41">
        <f t="shared" si="4"/>
        <v>0</v>
      </c>
      <c r="L46" s="41">
        <f t="shared" si="5"/>
        <v>0</v>
      </c>
      <c r="M46" s="103"/>
      <c r="N46" s="101">
        <v>200001041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>
        <f>'BoM AE'!C32</f>
        <v>0</v>
      </c>
      <c r="F47" s="68"/>
      <c r="G47" s="68"/>
      <c r="H47" s="41">
        <f t="shared" si="3"/>
        <v>0</v>
      </c>
      <c r="I47" s="41">
        <f t="shared" si="3"/>
        <v>0</v>
      </c>
      <c r="J47" s="41"/>
      <c r="K47" s="41">
        <f t="shared" si="4"/>
        <v>0</v>
      </c>
      <c r="L47" s="41">
        <f t="shared" si="5"/>
        <v>0</v>
      </c>
      <c r="M47" s="103"/>
      <c r="N47" s="101">
        <v>500002055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>
        <f>E49</f>
        <v>0</v>
      </c>
      <c r="E48" s="41"/>
      <c r="F48" s="68"/>
      <c r="G48" s="68"/>
      <c r="H48" s="41">
        <f t="shared" si="3"/>
        <v>0</v>
      </c>
      <c r="I48" s="41">
        <f t="shared" si="3"/>
        <v>0</v>
      </c>
      <c r="J48" s="41"/>
      <c r="K48" s="41">
        <f t="shared" si="4"/>
        <v>0</v>
      </c>
      <c r="L48" s="41">
        <f t="shared" si="5"/>
        <v>0</v>
      </c>
      <c r="M48" s="103"/>
      <c r="N48" s="101">
        <v>200001042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>
        <f>'BoM AE'!C33</f>
        <v>0</v>
      </c>
      <c r="F49" s="68"/>
      <c r="G49" s="68"/>
      <c r="H49" s="41">
        <f t="shared" si="3"/>
        <v>0</v>
      </c>
      <c r="I49" s="41">
        <f t="shared" si="3"/>
        <v>0</v>
      </c>
      <c r="J49" s="41"/>
      <c r="K49" s="41">
        <f t="shared" si="4"/>
        <v>0</v>
      </c>
      <c r="L49" s="41">
        <f t="shared" si="5"/>
        <v>0</v>
      </c>
      <c r="M49" s="103"/>
      <c r="N49" s="101">
        <v>500002062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3"/>
        <v>0</v>
      </c>
      <c r="I50" s="41">
        <f t="shared" si="3"/>
        <v>0</v>
      </c>
      <c r="J50" s="41"/>
      <c r="K50" s="41">
        <f t="shared" si="4"/>
        <v>0</v>
      </c>
      <c r="L50" s="41">
        <f t="shared" si="5"/>
        <v>0</v>
      </c>
      <c r="M50" s="103"/>
      <c r="N50" s="101">
        <v>200001043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3"/>
        <v>0</v>
      </c>
      <c r="I51" s="41">
        <f t="shared" si="3"/>
        <v>0</v>
      </c>
      <c r="J51" s="41"/>
      <c r="K51" s="41">
        <f t="shared" si="4"/>
        <v>0</v>
      </c>
      <c r="L51" s="41">
        <f t="shared" si="5"/>
        <v>0</v>
      </c>
      <c r="M51" s="103"/>
      <c r="N51" s="101">
        <v>500002073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3"/>
        <v>0</v>
      </c>
      <c r="I52" s="41">
        <f t="shared" si="3"/>
        <v>0</v>
      </c>
      <c r="J52" s="41"/>
      <c r="K52" s="41">
        <f t="shared" si="4"/>
        <v>0</v>
      </c>
      <c r="L52" s="41">
        <f t="shared" si="5"/>
        <v>0</v>
      </c>
      <c r="M52" s="103"/>
      <c r="N52" s="101">
        <v>200001044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3"/>
        <v>0</v>
      </c>
      <c r="I53" s="41">
        <f t="shared" si="3"/>
        <v>0</v>
      </c>
      <c r="J53" s="41"/>
      <c r="K53" s="41">
        <f t="shared" si="4"/>
        <v>0</v>
      </c>
      <c r="L53" s="41">
        <f t="shared" si="5"/>
        <v>0</v>
      </c>
      <c r="M53" s="103"/>
      <c r="N53" s="101">
        <v>500002084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5" t="s">
        <v>829</v>
      </c>
      <c r="C54" s="300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6">
        <v>200002672</v>
      </c>
      <c r="O54" s="295" t="s">
        <v>831</v>
      </c>
      <c r="P54" s="301" t="s">
        <v>28</v>
      </c>
      <c r="Q54" s="119"/>
      <c r="R54" s="123"/>
    </row>
    <row r="55" spans="1:18" ht="12" customHeight="1">
      <c r="A55" s="70"/>
      <c r="B55" s="295" t="s">
        <v>830</v>
      </c>
      <c r="C55" s="300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6">
        <v>500004726</v>
      </c>
      <c r="O55" s="295" t="s">
        <v>832</v>
      </c>
      <c r="P55" s="301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3"/>
        <v>0</v>
      </c>
      <c r="I56" s="41">
        <f t="shared" si="3"/>
        <v>0</v>
      </c>
      <c r="J56" s="41"/>
      <c r="K56" s="41">
        <f t="shared" si="4"/>
        <v>0</v>
      </c>
      <c r="L56" s="41">
        <f t="shared" si="5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3"/>
        <v>0</v>
      </c>
      <c r="I57" s="41">
        <f t="shared" si="3"/>
        <v>0</v>
      </c>
      <c r="J57" s="41"/>
      <c r="K57" s="41">
        <f t="shared" si="4"/>
        <v>0</v>
      </c>
      <c r="L57" s="41">
        <f t="shared" si="5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/>
      <c r="E58" s="41"/>
      <c r="F58" s="42"/>
      <c r="G58" s="74"/>
      <c r="H58" s="41">
        <f t="shared" si="3"/>
        <v>0</v>
      </c>
      <c r="I58" s="41">
        <f t="shared" si="3"/>
        <v>0</v>
      </c>
      <c r="J58" s="41"/>
      <c r="K58" s="41">
        <f t="shared" si="4"/>
        <v>0</v>
      </c>
      <c r="L58" s="41">
        <f t="shared" si="5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3"/>
        <v>0</v>
      </c>
      <c r="I59" s="41">
        <f t="shared" si="3"/>
        <v>0</v>
      </c>
      <c r="J59" s="41"/>
      <c r="K59" s="41">
        <f t="shared" si="4"/>
        <v>0</v>
      </c>
      <c r="L59" s="41">
        <f t="shared" si="5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3"/>
        <v>0</v>
      </c>
      <c r="I60" s="41">
        <f t="shared" si="3"/>
        <v>0</v>
      </c>
      <c r="J60" s="41"/>
      <c r="K60" s="41">
        <f t="shared" si="4"/>
        <v>0</v>
      </c>
      <c r="L60" s="41">
        <f t="shared" si="5"/>
        <v>0</v>
      </c>
      <c r="M60" s="156"/>
      <c r="N60" s="101">
        <v>200001045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/>
      <c r="E61" s="41"/>
      <c r="F61" s="42"/>
      <c r="G61" s="74"/>
      <c r="H61" s="41">
        <f t="shared" si="3"/>
        <v>0</v>
      </c>
      <c r="I61" s="41">
        <f t="shared" si="3"/>
        <v>0</v>
      </c>
      <c r="J61" s="41"/>
      <c r="K61" s="41">
        <f t="shared" si="4"/>
        <v>0</v>
      </c>
      <c r="L61" s="41">
        <f t="shared" si="5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3"/>
        <v>0</v>
      </c>
      <c r="I62" s="41">
        <f t="shared" si="3"/>
        <v>0</v>
      </c>
      <c r="J62" s="41"/>
      <c r="K62" s="41">
        <f t="shared" si="4"/>
        <v>0</v>
      </c>
      <c r="L62" s="41">
        <f t="shared" si="5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>
        <f>E64</f>
        <v>10</v>
      </c>
      <c r="E63" s="41"/>
      <c r="F63" s="42"/>
      <c r="G63" s="68"/>
      <c r="H63" s="41">
        <f t="shared" si="3"/>
        <v>0</v>
      </c>
      <c r="I63" s="41">
        <f t="shared" si="3"/>
        <v>0</v>
      </c>
      <c r="J63" s="41"/>
      <c r="K63" s="41">
        <f t="shared" si="4"/>
        <v>10</v>
      </c>
      <c r="L63" s="41">
        <f t="shared" si="5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868</v>
      </c>
      <c r="C64" s="40" t="s">
        <v>109</v>
      </c>
      <c r="D64" s="41"/>
      <c r="E64" s="277">
        <f>SUM('BoM AE'!C36:C39)</f>
        <v>10</v>
      </c>
      <c r="F64" s="68"/>
      <c r="G64" s="42"/>
      <c r="H64" s="41">
        <f t="shared" si="3"/>
        <v>0</v>
      </c>
      <c r="I64" s="41">
        <f t="shared" si="3"/>
        <v>0</v>
      </c>
      <c r="J64" s="41"/>
      <c r="K64" s="41">
        <f t="shared" si="4"/>
        <v>10</v>
      </c>
      <c r="L64" s="41">
        <f t="shared" si="5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3"/>
        <v>0</v>
      </c>
      <c r="I65" s="41">
        <f t="shared" si="3"/>
        <v>0</v>
      </c>
      <c r="J65" s="41"/>
      <c r="K65" s="41">
        <f t="shared" si="4"/>
        <v>0</v>
      </c>
      <c r="L65" s="41">
        <f t="shared" si="5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>
        <f>'BoM AE'!C94</f>
        <v>0</v>
      </c>
      <c r="F66" s="68"/>
      <c r="G66" s="68"/>
      <c r="H66" s="41">
        <f t="shared" si="3"/>
        <v>0</v>
      </c>
      <c r="I66" s="41">
        <f t="shared" si="3"/>
        <v>0</v>
      </c>
      <c r="J66" s="41"/>
      <c r="K66" s="41">
        <f t="shared" si="4"/>
        <v>0</v>
      </c>
      <c r="L66" s="41">
        <f t="shared" si="5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/>
      <c r="B67" s="295" t="s">
        <v>833</v>
      </c>
      <c r="C67" s="302" t="s">
        <v>109</v>
      </c>
      <c r="D67" s="41"/>
      <c r="E67" s="41"/>
      <c r="F67" s="68"/>
      <c r="G67" s="68"/>
      <c r="H67" s="41"/>
      <c r="I67" s="41"/>
      <c r="J67" s="41"/>
      <c r="K67" s="41"/>
      <c r="L67" s="41"/>
      <c r="M67" s="143"/>
      <c r="N67" s="296">
        <v>500004720</v>
      </c>
      <c r="O67" s="295" t="s">
        <v>839</v>
      </c>
      <c r="P67" s="303" t="s">
        <v>23</v>
      </c>
      <c r="Q67" s="119"/>
      <c r="R67" s="112"/>
    </row>
    <row r="68" spans="1:18" ht="12" customHeight="1">
      <c r="A68" s="38"/>
      <c r="B68" s="295" t="s">
        <v>834</v>
      </c>
      <c r="C68" s="302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6">
        <v>500004721</v>
      </c>
      <c r="O68" s="295" t="s">
        <v>840</v>
      </c>
      <c r="P68" s="303" t="s">
        <v>23</v>
      </c>
      <c r="Q68" s="119"/>
      <c r="R68" s="112"/>
    </row>
    <row r="69" spans="1:18" ht="12" customHeight="1">
      <c r="A69" s="38"/>
      <c r="B69" s="295" t="s">
        <v>835</v>
      </c>
      <c r="C69" s="302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6">
        <v>200002673</v>
      </c>
      <c r="O69" s="295" t="s">
        <v>841</v>
      </c>
      <c r="P69" s="303" t="s">
        <v>28</v>
      </c>
      <c r="Q69" s="119"/>
      <c r="R69" s="112"/>
    </row>
    <row r="70" spans="1:18" ht="12" customHeight="1">
      <c r="A70" s="38"/>
      <c r="B70" s="295" t="s">
        <v>836</v>
      </c>
      <c r="C70" s="302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6">
        <v>500004727</v>
      </c>
      <c r="O70" s="295" t="s">
        <v>842</v>
      </c>
      <c r="P70" s="303" t="s">
        <v>23</v>
      </c>
      <c r="Q70" s="119"/>
      <c r="R70" s="112"/>
    </row>
    <row r="71" spans="1:18" ht="12" customHeight="1">
      <c r="A71" s="38"/>
      <c r="B71" s="295" t="s">
        <v>837</v>
      </c>
      <c r="C71" s="302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6">
        <v>200002674</v>
      </c>
      <c r="O71" s="295" t="s">
        <v>843</v>
      </c>
      <c r="P71" s="303" t="s">
        <v>28</v>
      </c>
      <c r="Q71" s="119"/>
      <c r="R71" s="112"/>
    </row>
    <row r="72" spans="1:18" ht="12" customHeight="1">
      <c r="A72" s="38"/>
      <c r="B72" s="295" t="s">
        <v>838</v>
      </c>
      <c r="C72" s="302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6">
        <v>500004728</v>
      </c>
      <c r="O72" s="295" t="s">
        <v>844</v>
      </c>
      <c r="P72" s="303" t="s">
        <v>23</v>
      </c>
      <c r="Q72" s="119"/>
      <c r="R72" s="112"/>
    </row>
    <row r="73" spans="1:18" ht="12" customHeight="1">
      <c r="A73" s="38" t="s">
        <v>129</v>
      </c>
      <c r="B73" s="66" t="s">
        <v>130</v>
      </c>
      <c r="C73" s="40" t="s">
        <v>109</v>
      </c>
      <c r="D73" s="41"/>
      <c r="E73" s="41"/>
      <c r="F73" s="68"/>
      <c r="G73" s="68"/>
      <c r="H73" s="41">
        <f t="shared" si="3"/>
        <v>0</v>
      </c>
      <c r="I73" s="41">
        <f t="shared" si="3"/>
        <v>0</v>
      </c>
      <c r="J73" s="41"/>
      <c r="K73" s="41">
        <f t="shared" si="4"/>
        <v>0</v>
      </c>
      <c r="L73" s="41">
        <f t="shared" si="5"/>
        <v>0</v>
      </c>
      <c r="M73" s="143"/>
      <c r="N73" s="101">
        <v>200000165</v>
      </c>
      <c r="O73" s="102" t="s">
        <v>131</v>
      </c>
      <c r="P73" s="67" t="s">
        <v>28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6">D74*F74</f>
        <v>0</v>
      </c>
      <c r="I74" s="41">
        <f t="shared" si="6"/>
        <v>0</v>
      </c>
      <c r="J74" s="41"/>
      <c r="K74" s="41">
        <f t="shared" si="4"/>
        <v>0</v>
      </c>
      <c r="L74" s="41">
        <f t="shared" si="5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6"/>
        <v>0</v>
      </c>
      <c r="I75" s="41">
        <f t="shared" si="6"/>
        <v>0</v>
      </c>
      <c r="J75" s="41"/>
      <c r="K75" s="41">
        <f t="shared" si="4"/>
        <v>0</v>
      </c>
      <c r="L75" s="41">
        <f t="shared" si="5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/>
      <c r="E76" s="41"/>
      <c r="F76" s="68"/>
      <c r="G76" s="68"/>
      <c r="H76" s="41">
        <f t="shared" si="6"/>
        <v>0</v>
      </c>
      <c r="I76" s="41">
        <f t="shared" si="6"/>
        <v>0</v>
      </c>
      <c r="J76" s="41"/>
      <c r="K76" s="41">
        <f t="shared" si="4"/>
        <v>0</v>
      </c>
      <c r="L76" s="41">
        <f t="shared" si="5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/>
      <c r="E77" s="41"/>
      <c r="F77" s="68"/>
      <c r="G77" s="68"/>
      <c r="H77" s="41">
        <f t="shared" si="6"/>
        <v>0</v>
      </c>
      <c r="I77" s="41">
        <f t="shared" si="6"/>
        <v>0</v>
      </c>
      <c r="J77" s="41"/>
      <c r="K77" s="41">
        <f t="shared" si="4"/>
        <v>0</v>
      </c>
      <c r="L77" s="41">
        <f t="shared" si="5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41"/>
      <c r="E78" s="41"/>
      <c r="F78" s="68"/>
      <c r="G78" s="68"/>
      <c r="H78" s="41">
        <f t="shared" si="6"/>
        <v>0</v>
      </c>
      <c r="I78" s="41">
        <f t="shared" si="6"/>
        <v>0</v>
      </c>
      <c r="J78" s="41"/>
      <c r="K78" s="41">
        <f t="shared" si="4"/>
        <v>0</v>
      </c>
      <c r="L78" s="41">
        <f t="shared" si="5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/>
      <c r="E79" s="41"/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/>
      <c r="E80" s="41"/>
      <c r="F80" s="68"/>
      <c r="G80" s="68"/>
      <c r="H80" s="41">
        <f t="shared" ref="H80:I85" si="7">D80*F80</f>
        <v>0</v>
      </c>
      <c r="I80" s="41">
        <f t="shared" si="7"/>
        <v>0</v>
      </c>
      <c r="J80" s="41"/>
      <c r="K80" s="41">
        <f t="shared" ref="K80:K85" si="8">D80+E80</f>
        <v>0</v>
      </c>
      <c r="L80" s="41">
        <f t="shared" ref="L80:L85" si="9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41"/>
      <c r="E81" s="41"/>
      <c r="F81" s="68"/>
      <c r="G81" s="68"/>
      <c r="H81" s="41">
        <f t="shared" si="7"/>
        <v>0</v>
      </c>
      <c r="I81" s="41">
        <f t="shared" si="7"/>
        <v>0</v>
      </c>
      <c r="J81" s="41"/>
      <c r="K81" s="41">
        <f t="shared" si="8"/>
        <v>0</v>
      </c>
      <c r="L81" s="41">
        <f t="shared" si="9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/>
      <c r="E82" s="41"/>
      <c r="F82" s="68"/>
      <c r="G82" s="68"/>
      <c r="H82" s="41">
        <f t="shared" si="7"/>
        <v>0</v>
      </c>
      <c r="I82" s="41">
        <f t="shared" si="7"/>
        <v>0</v>
      </c>
      <c r="J82" s="41"/>
      <c r="K82" s="41">
        <f t="shared" si="8"/>
        <v>0</v>
      </c>
      <c r="L82" s="41">
        <f t="shared" si="9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41"/>
      <c r="E83" s="41"/>
      <c r="F83" s="68"/>
      <c r="G83" s="68"/>
      <c r="H83" s="41">
        <f t="shared" si="7"/>
        <v>0</v>
      </c>
      <c r="I83" s="41">
        <f t="shared" si="7"/>
        <v>0</v>
      </c>
      <c r="J83" s="41"/>
      <c r="K83" s="41">
        <f t="shared" si="8"/>
        <v>0</v>
      </c>
      <c r="L83" s="41">
        <f t="shared" si="9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/>
      <c r="E84" s="41"/>
      <c r="F84" s="68"/>
      <c r="G84" s="68"/>
      <c r="H84" s="41">
        <f t="shared" si="7"/>
        <v>0</v>
      </c>
      <c r="I84" s="41">
        <f t="shared" si="7"/>
        <v>0</v>
      </c>
      <c r="J84" s="41"/>
      <c r="K84" s="41">
        <f t="shared" si="8"/>
        <v>0</v>
      </c>
      <c r="L84" s="41">
        <f t="shared" si="9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/>
      <c r="E85" s="41"/>
      <c r="F85" s="68"/>
      <c r="G85" s="68"/>
      <c r="H85" s="41">
        <f t="shared" si="7"/>
        <v>0</v>
      </c>
      <c r="I85" s="41">
        <f t="shared" si="7"/>
        <v>0</v>
      </c>
      <c r="J85" s="41"/>
      <c r="K85" s="41">
        <f t="shared" si="8"/>
        <v>0</v>
      </c>
      <c r="L85" s="41">
        <f t="shared" si="9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/>
      <c r="E86" s="41"/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/>
      <c r="E87" s="41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/>
      <c r="E88" s="41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/>
      <c r="E89" s="41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0">D90*F90</f>
        <v>0</v>
      </c>
      <c r="I90" s="41">
        <f t="shared" si="10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0"/>
        <v>0</v>
      </c>
      <c r="I91" s="41">
        <f t="shared" si="10"/>
        <v>0</v>
      </c>
      <c r="J91" s="41"/>
      <c r="K91" s="41">
        <f>D91+E91</f>
        <v>0</v>
      </c>
      <c r="L91" s="41">
        <f>F91+G91</f>
        <v>0</v>
      </c>
      <c r="M91" s="156"/>
      <c r="N91" s="101">
        <v>200001009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7">
        <f>'BoM AE'!C73+'BoM AE'!C74</f>
        <v>20</v>
      </c>
      <c r="F92" s="68"/>
      <c r="G92" s="42"/>
      <c r="H92" s="41">
        <f t="shared" si="10"/>
        <v>0</v>
      </c>
      <c r="I92" s="41">
        <f t="shared" si="10"/>
        <v>0</v>
      </c>
      <c r="J92" s="41"/>
      <c r="K92" s="41">
        <f>D92+E92</f>
        <v>20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7">
        <f>'BoM AE'!C49</f>
        <v>2.7</v>
      </c>
      <c r="E94" s="41">
        <f>D94</f>
        <v>2.7</v>
      </c>
      <c r="F94" s="42"/>
      <c r="G94" s="74"/>
      <c r="H94" s="41">
        <f t="shared" ref="H94:I104" si="11">D94*F94</f>
        <v>0</v>
      </c>
      <c r="I94" s="41">
        <f t="shared" si="11"/>
        <v>0</v>
      </c>
      <c r="J94" s="41"/>
      <c r="K94" s="41">
        <f t="shared" ref="K94:K104" si="12">D94+E94</f>
        <v>5.4</v>
      </c>
      <c r="L94" s="41">
        <f t="shared" ref="L94:L104" si="13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277">
        <f>'BoM AE'!C50</f>
        <v>1</v>
      </c>
      <c r="E95" s="41">
        <f t="shared" ref="E95:E98" si="14">D95</f>
        <v>1</v>
      </c>
      <c r="F95" s="42"/>
      <c r="G95" s="74"/>
      <c r="H95" s="41">
        <f t="shared" si="11"/>
        <v>0</v>
      </c>
      <c r="I95" s="41">
        <f t="shared" si="11"/>
        <v>0</v>
      </c>
      <c r="J95" s="41"/>
      <c r="K95" s="41">
        <f t="shared" si="12"/>
        <v>2</v>
      </c>
      <c r="L95" s="41">
        <f t="shared" si="13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277">
        <f>'BoM AE'!C51</f>
        <v>10</v>
      </c>
      <c r="E96" s="41">
        <f t="shared" si="14"/>
        <v>10</v>
      </c>
      <c r="F96" s="42"/>
      <c r="G96" s="74"/>
      <c r="H96" s="41">
        <f t="shared" si="11"/>
        <v>0</v>
      </c>
      <c r="I96" s="41">
        <f t="shared" si="11"/>
        <v>0</v>
      </c>
      <c r="J96" s="41"/>
      <c r="K96" s="41">
        <f t="shared" si="12"/>
        <v>20</v>
      </c>
      <c r="L96" s="41">
        <f t="shared" si="13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7">
        <f>'BoM AE'!C52</f>
        <v>6</v>
      </c>
      <c r="E97" s="41">
        <f t="shared" si="14"/>
        <v>6</v>
      </c>
      <c r="F97" s="42"/>
      <c r="G97" s="74"/>
      <c r="H97" s="41">
        <f t="shared" si="11"/>
        <v>0</v>
      </c>
      <c r="I97" s="41">
        <f t="shared" si="11"/>
        <v>0</v>
      </c>
      <c r="J97" s="41"/>
      <c r="K97" s="41">
        <f t="shared" si="12"/>
        <v>12</v>
      </c>
      <c r="L97" s="41">
        <f t="shared" si="13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>
        <f>'BoM AE'!C93+'BoM AE'!C94</f>
        <v>0</v>
      </c>
      <c r="E98" s="41">
        <f t="shared" si="14"/>
        <v>0</v>
      </c>
      <c r="F98" s="68"/>
      <c r="G98" s="68"/>
      <c r="H98" s="41">
        <f t="shared" si="11"/>
        <v>0</v>
      </c>
      <c r="I98" s="41">
        <f t="shared" si="11"/>
        <v>0</v>
      </c>
      <c r="J98" s="41"/>
      <c r="K98" s="41">
        <f t="shared" si="12"/>
        <v>0</v>
      </c>
      <c r="L98" s="41">
        <f t="shared" si="13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1"/>
        <v>0</v>
      </c>
      <c r="I99" s="41">
        <f t="shared" si="11"/>
        <v>0</v>
      </c>
      <c r="J99" s="41"/>
      <c r="K99" s="41">
        <f t="shared" si="12"/>
        <v>0</v>
      </c>
      <c r="L99" s="41">
        <f t="shared" si="13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1"/>
        <v>0</v>
      </c>
      <c r="I100" s="41">
        <f t="shared" si="11"/>
        <v>0</v>
      </c>
      <c r="J100" s="41"/>
      <c r="K100" s="41">
        <f t="shared" si="12"/>
        <v>0</v>
      </c>
      <c r="L100" s="41">
        <f t="shared" si="13"/>
        <v>0</v>
      </c>
      <c r="M100" s="156"/>
      <c r="N100" s="101">
        <v>200001028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1"/>
        <v>0</v>
      </c>
      <c r="I101" s="99">
        <f t="shared" si="11"/>
        <v>0</v>
      </c>
      <c r="J101" s="99"/>
      <c r="K101" s="41">
        <f t="shared" si="12"/>
        <v>0</v>
      </c>
      <c r="L101" s="41">
        <f t="shared" si="13"/>
        <v>0</v>
      </c>
      <c r="M101" s="156"/>
      <c r="N101" s="101">
        <v>200001011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1"/>
        <v>0</v>
      </c>
      <c r="I102" s="99">
        <f t="shared" si="11"/>
        <v>0</v>
      </c>
      <c r="J102" s="99"/>
      <c r="K102" s="41">
        <f t="shared" si="12"/>
        <v>0</v>
      </c>
      <c r="L102" s="41">
        <f t="shared" si="13"/>
        <v>0</v>
      </c>
      <c r="M102" s="156"/>
      <c r="N102" s="101">
        <v>500002092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1"/>
        <v>0</v>
      </c>
      <c r="I103" s="99">
        <f t="shared" si="11"/>
        <v>0</v>
      </c>
      <c r="J103" s="99"/>
      <c r="K103" s="41">
        <f t="shared" si="12"/>
        <v>0</v>
      </c>
      <c r="L103" s="90">
        <f t="shared" si="13"/>
        <v>0</v>
      </c>
      <c r="M103" s="156"/>
      <c r="N103" s="101">
        <v>500002093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1"/>
        <v>0</v>
      </c>
      <c r="I104" s="99">
        <f t="shared" si="11"/>
        <v>0</v>
      </c>
      <c r="J104" s="99"/>
      <c r="K104" s="41">
        <f t="shared" si="12"/>
        <v>0</v>
      </c>
      <c r="L104" s="90">
        <f t="shared" si="13"/>
        <v>0</v>
      </c>
      <c r="M104" s="156"/>
      <c r="N104" s="101">
        <v>500002094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5.5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5">D108+E108</f>
        <v>0</v>
      </c>
      <c r="L108" s="90">
        <f t="shared" ref="L108:L119" si="16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7">D109*F109</f>
        <v>0</v>
      </c>
      <c r="I109" s="57">
        <f t="shared" si="17"/>
        <v>0</v>
      </c>
      <c r="J109" s="57"/>
      <c r="K109" s="41">
        <f t="shared" si="15"/>
        <v>0</v>
      </c>
      <c r="L109" s="90">
        <f t="shared" si="16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7"/>
        <v>0</v>
      </c>
      <c r="I110" s="57">
        <f t="shared" si="17"/>
        <v>0</v>
      </c>
      <c r="J110" s="57"/>
      <c r="K110" s="41">
        <f t="shared" si="15"/>
        <v>0</v>
      </c>
      <c r="L110" s="90">
        <f t="shared" si="16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5.5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7"/>
        <v>0</v>
      </c>
      <c r="I111" s="57">
        <f t="shared" si="17"/>
        <v>0</v>
      </c>
      <c r="J111" s="57"/>
      <c r="K111" s="41">
        <f t="shared" si="15"/>
        <v>0</v>
      </c>
      <c r="L111" s="90">
        <f t="shared" si="16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>
        <f>'BoM AE'!C84</f>
        <v>0</v>
      </c>
      <c r="E112" s="41">
        <f>D112</f>
        <v>0</v>
      </c>
      <c r="F112" s="57"/>
      <c r="G112" s="57"/>
      <c r="H112" s="57">
        <f t="shared" si="17"/>
        <v>0</v>
      </c>
      <c r="I112" s="57">
        <f t="shared" si="17"/>
        <v>0</v>
      </c>
      <c r="J112" s="57"/>
      <c r="K112" s="41">
        <f t="shared" si="15"/>
        <v>0</v>
      </c>
      <c r="L112" s="90">
        <f t="shared" si="16"/>
        <v>0</v>
      </c>
      <c r="M112" s="156"/>
      <c r="N112" s="101">
        <v>500002117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7"/>
        <v>0</v>
      </c>
      <c r="I113" s="57">
        <f t="shared" si="17"/>
        <v>0</v>
      </c>
      <c r="J113" s="57"/>
      <c r="K113" s="41">
        <f t="shared" si="15"/>
        <v>0</v>
      </c>
      <c r="L113" s="90">
        <f t="shared" si="16"/>
        <v>0</v>
      </c>
      <c r="M113" s="156"/>
      <c r="N113" s="101">
        <v>500002118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7"/>
        <v>0</v>
      </c>
      <c r="I114" s="57">
        <f t="shared" si="17"/>
        <v>0</v>
      </c>
      <c r="J114" s="57"/>
      <c r="K114" s="41">
        <f t="shared" si="15"/>
        <v>0</v>
      </c>
      <c r="L114" s="90">
        <f t="shared" si="16"/>
        <v>0</v>
      </c>
      <c r="M114" s="156"/>
      <c r="N114" s="101">
        <v>500002119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7"/>
        <v>0</v>
      </c>
      <c r="I115" s="57">
        <f t="shared" si="17"/>
        <v>0</v>
      </c>
      <c r="J115" s="57"/>
      <c r="K115" s="41">
        <f t="shared" si="15"/>
        <v>0</v>
      </c>
      <c r="L115" s="90">
        <f t="shared" si="16"/>
        <v>0</v>
      </c>
      <c r="M115" s="156"/>
      <c r="N115" s="101">
        <v>500002120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7"/>
        <v>0</v>
      </c>
      <c r="I116" s="57">
        <f t="shared" si="17"/>
        <v>0</v>
      </c>
      <c r="J116" s="57"/>
      <c r="K116" s="41">
        <f t="shared" si="15"/>
        <v>0</v>
      </c>
      <c r="L116" s="90">
        <f t="shared" si="16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7"/>
        <v>0</v>
      </c>
      <c r="I117" s="57">
        <f t="shared" si="17"/>
        <v>0</v>
      </c>
      <c r="J117" s="57"/>
      <c r="K117" s="41">
        <f t="shared" si="15"/>
        <v>0</v>
      </c>
      <c r="L117" s="90">
        <f t="shared" si="16"/>
        <v>0</v>
      </c>
      <c r="M117" s="156"/>
      <c r="N117" s="101">
        <v>500002121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7"/>
        <v>0</v>
      </c>
      <c r="I118" s="57">
        <f t="shared" si="17"/>
        <v>0</v>
      </c>
      <c r="J118" s="57"/>
      <c r="K118" s="41">
        <f t="shared" si="15"/>
        <v>0</v>
      </c>
      <c r="L118" s="90">
        <f t="shared" si="16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7"/>
        <v>0</v>
      </c>
      <c r="I119" s="57">
        <f t="shared" si="17"/>
        <v>0</v>
      </c>
      <c r="J119" s="57"/>
      <c r="K119" s="41">
        <f t="shared" si="15"/>
        <v>0</v>
      </c>
      <c r="L119" s="41">
        <f t="shared" si="16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5.5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8">D121*F121</f>
        <v>0</v>
      </c>
      <c r="I121" s="57">
        <f t="shared" si="18"/>
        <v>0</v>
      </c>
      <c r="J121" s="57"/>
      <c r="K121" s="41">
        <f t="shared" ref="K121:K185" si="19">D121+E121</f>
        <v>0</v>
      </c>
      <c r="L121" s="41">
        <f t="shared" ref="L121:L185" si="20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5.5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8"/>
        <v>0</v>
      </c>
      <c r="I122" s="57">
        <f t="shared" si="18"/>
        <v>0</v>
      </c>
      <c r="J122" s="57"/>
      <c r="K122" s="41">
        <f t="shared" si="19"/>
        <v>0</v>
      </c>
      <c r="L122" s="41">
        <f t="shared" si="20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8"/>
        <v>0</v>
      </c>
      <c r="I123" s="57">
        <f t="shared" si="18"/>
        <v>0</v>
      </c>
      <c r="J123" s="57"/>
      <c r="K123" s="41">
        <f t="shared" si="19"/>
        <v>0</v>
      </c>
      <c r="L123" s="41">
        <f t="shared" si="20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8"/>
        <v>0</v>
      </c>
      <c r="I124" s="57">
        <f t="shared" si="18"/>
        <v>0</v>
      </c>
      <c r="J124" s="57"/>
      <c r="K124" s="41">
        <f t="shared" si="19"/>
        <v>0</v>
      </c>
      <c r="L124" s="41">
        <f t="shared" si="20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8"/>
        <v>0</v>
      </c>
      <c r="I125" s="57">
        <f t="shared" si="18"/>
        <v>0</v>
      </c>
      <c r="J125" s="57"/>
      <c r="K125" s="41">
        <f t="shared" si="19"/>
        <v>0</v>
      </c>
      <c r="L125" s="41">
        <f t="shared" si="20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8"/>
        <v>0</v>
      </c>
      <c r="I126" s="57">
        <f t="shared" si="18"/>
        <v>0</v>
      </c>
      <c r="J126" s="57"/>
      <c r="K126" s="41">
        <f t="shared" si="19"/>
        <v>0</v>
      </c>
      <c r="L126" s="41">
        <f t="shared" si="20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8"/>
        <v>0</v>
      </c>
      <c r="I127" s="57">
        <f t="shared" si="18"/>
        <v>0</v>
      </c>
      <c r="J127" s="57"/>
      <c r="K127" s="41">
        <f t="shared" si="19"/>
        <v>0</v>
      </c>
      <c r="L127" s="41">
        <f t="shared" si="20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8"/>
        <v>0</v>
      </c>
      <c r="I128" s="57">
        <f t="shared" si="18"/>
        <v>0</v>
      </c>
      <c r="J128" s="57"/>
      <c r="K128" s="41">
        <f t="shared" si="19"/>
        <v>0</v>
      </c>
      <c r="L128" s="41">
        <f t="shared" si="20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8"/>
        <v>0</v>
      </c>
      <c r="I129" s="57">
        <f t="shared" si="18"/>
        <v>0</v>
      </c>
      <c r="J129" s="57"/>
      <c r="K129" s="41">
        <f t="shared" si="19"/>
        <v>0</v>
      </c>
      <c r="L129" s="41">
        <f t="shared" si="20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5.5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8"/>
        <v>0</v>
      </c>
      <c r="I130" s="57">
        <f t="shared" si="18"/>
        <v>0</v>
      </c>
      <c r="J130" s="57"/>
      <c r="K130" s="41">
        <f t="shared" si="19"/>
        <v>0</v>
      </c>
      <c r="L130" s="41">
        <f t="shared" si="20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25.5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8"/>
        <v>0</v>
      </c>
      <c r="I131" s="57">
        <f t="shared" si="18"/>
        <v>0</v>
      </c>
      <c r="J131" s="57"/>
      <c r="K131" s="41">
        <f t="shared" si="19"/>
        <v>0</v>
      </c>
      <c r="L131" s="41">
        <f t="shared" si="20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8"/>
        <v>0</v>
      </c>
      <c r="I132" s="57">
        <f t="shared" si="18"/>
        <v>0</v>
      </c>
      <c r="J132" s="57"/>
      <c r="K132" s="41">
        <f t="shared" si="19"/>
        <v>0</v>
      </c>
      <c r="L132" s="41">
        <f t="shared" si="20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8"/>
        <v>0</v>
      </c>
      <c r="I133" s="57">
        <f t="shared" si="18"/>
        <v>0</v>
      </c>
      <c r="J133" s="57"/>
      <c r="K133" s="41">
        <f t="shared" si="19"/>
        <v>0</v>
      </c>
      <c r="L133" s="90">
        <f t="shared" si="20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8"/>
        <v>0</v>
      </c>
      <c r="I134" s="57">
        <f t="shared" si="18"/>
        <v>0</v>
      </c>
      <c r="J134" s="57"/>
      <c r="K134" s="41">
        <f t="shared" si="19"/>
        <v>0</v>
      </c>
      <c r="L134" s="90">
        <f t="shared" si="20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>
        <f>'BoM AE'!C89</f>
        <v>0</v>
      </c>
      <c r="F135" s="57"/>
      <c r="G135" s="57"/>
      <c r="H135" s="57">
        <f t="shared" si="18"/>
        <v>0</v>
      </c>
      <c r="I135" s="57">
        <f t="shared" si="18"/>
        <v>0</v>
      </c>
      <c r="J135" s="57"/>
      <c r="K135" s="41">
        <f t="shared" si="19"/>
        <v>0</v>
      </c>
      <c r="L135" s="90">
        <f t="shared" si="20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8"/>
        <v>0</v>
      </c>
      <c r="I136" s="57">
        <f t="shared" si="18"/>
        <v>0</v>
      </c>
      <c r="J136" s="57"/>
      <c r="K136" s="41">
        <f t="shared" si="19"/>
        <v>0</v>
      </c>
      <c r="L136" s="90">
        <f t="shared" si="20"/>
        <v>0</v>
      </c>
      <c r="M136" s="156"/>
      <c r="N136" s="101">
        <v>200000994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>
        <f>'BoM AE'!C91</f>
        <v>0</v>
      </c>
      <c r="F137" s="57"/>
      <c r="G137" s="57"/>
      <c r="H137" s="57">
        <f t="shared" si="18"/>
        <v>0</v>
      </c>
      <c r="I137" s="57">
        <f t="shared" si="18"/>
        <v>0</v>
      </c>
      <c r="J137" s="57"/>
      <c r="K137" s="41">
        <f t="shared" si="19"/>
        <v>0</v>
      </c>
      <c r="L137" s="90">
        <f t="shared" si="20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41"/>
      <c r="E138" s="41"/>
      <c r="F138" s="57"/>
      <c r="G138" s="57"/>
      <c r="H138" s="57">
        <f t="shared" si="18"/>
        <v>0</v>
      </c>
      <c r="I138" s="57">
        <f t="shared" si="18"/>
        <v>0</v>
      </c>
      <c r="J138" s="57"/>
      <c r="K138" s="41">
        <f t="shared" si="19"/>
        <v>0</v>
      </c>
      <c r="L138" s="90">
        <f t="shared" si="20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41">
        <f>'BoM AE'!C92</f>
        <v>0</v>
      </c>
      <c r="F139" s="57"/>
      <c r="G139" s="57"/>
      <c r="H139" s="57">
        <f t="shared" si="18"/>
        <v>0</v>
      </c>
      <c r="I139" s="57">
        <f t="shared" si="18"/>
        <v>0</v>
      </c>
      <c r="J139" s="57"/>
      <c r="K139" s="41">
        <f t="shared" si="19"/>
        <v>0</v>
      </c>
      <c r="L139" s="90">
        <f t="shared" si="20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41"/>
      <c r="E140" s="41"/>
      <c r="F140" s="57"/>
      <c r="G140" s="57"/>
      <c r="H140" s="57">
        <f t="shared" si="18"/>
        <v>0</v>
      </c>
      <c r="I140" s="57">
        <f t="shared" si="18"/>
        <v>0</v>
      </c>
      <c r="J140" s="57"/>
      <c r="K140" s="41">
        <f t="shared" si="19"/>
        <v>0</v>
      </c>
      <c r="L140" s="90">
        <f t="shared" si="20"/>
        <v>0</v>
      </c>
      <c r="M140" s="156"/>
      <c r="N140" s="101">
        <v>200000282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41">
        <f>'BoM AE'!C92</f>
        <v>0</v>
      </c>
      <c r="F141" s="57"/>
      <c r="G141" s="57"/>
      <c r="H141" s="57">
        <f t="shared" si="18"/>
        <v>0</v>
      </c>
      <c r="I141" s="57">
        <f t="shared" si="18"/>
        <v>0</v>
      </c>
      <c r="J141" s="57"/>
      <c r="K141" s="41">
        <f t="shared" si="19"/>
        <v>0</v>
      </c>
      <c r="L141" s="90">
        <f t="shared" si="20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8"/>
        <v>0</v>
      </c>
      <c r="I142" s="57">
        <f t="shared" si="18"/>
        <v>0</v>
      </c>
      <c r="J142" s="57"/>
      <c r="K142" s="41">
        <f t="shared" si="19"/>
        <v>0</v>
      </c>
      <c r="L142" s="90">
        <f t="shared" si="20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8"/>
        <v>0</v>
      </c>
      <c r="I143" s="57">
        <f t="shared" si="18"/>
        <v>0</v>
      </c>
      <c r="J143" s="57"/>
      <c r="K143" s="41">
        <f t="shared" si="19"/>
        <v>0</v>
      </c>
      <c r="L143" s="90">
        <f t="shared" si="20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41"/>
      <c r="E144" s="41"/>
      <c r="F144" s="57"/>
      <c r="G144" s="57"/>
      <c r="H144" s="57">
        <f t="shared" si="18"/>
        <v>0</v>
      </c>
      <c r="I144" s="57">
        <f t="shared" si="18"/>
        <v>0</v>
      </c>
      <c r="J144" s="57"/>
      <c r="K144" s="41">
        <f t="shared" si="19"/>
        <v>0</v>
      </c>
      <c r="L144" s="90">
        <f t="shared" si="20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41"/>
      <c r="E145" s="41"/>
      <c r="F145" s="57"/>
      <c r="G145" s="57"/>
      <c r="H145" s="57">
        <f t="shared" si="18"/>
        <v>0</v>
      </c>
      <c r="I145" s="57">
        <f t="shared" si="18"/>
        <v>0</v>
      </c>
      <c r="J145" s="57"/>
      <c r="K145" s="41">
        <f t="shared" si="19"/>
        <v>0</v>
      </c>
      <c r="L145" s="90">
        <f t="shared" si="20"/>
        <v>0</v>
      </c>
      <c r="M145" s="156"/>
      <c r="N145" s="101">
        <v>200000292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8"/>
        <v>0</v>
      </c>
      <c r="I146" s="57">
        <f t="shared" si="18"/>
        <v>0</v>
      </c>
      <c r="J146" s="57"/>
      <c r="K146" s="41">
        <f t="shared" si="19"/>
        <v>0</v>
      </c>
      <c r="L146" s="90">
        <f t="shared" si="20"/>
        <v>0</v>
      </c>
      <c r="M146" s="156"/>
      <c r="N146" s="101">
        <v>200000742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8"/>
        <v>0</v>
      </c>
      <c r="I147" s="57">
        <f t="shared" si="18"/>
        <v>0</v>
      </c>
      <c r="J147" s="57"/>
      <c r="K147" s="41">
        <f t="shared" si="19"/>
        <v>0</v>
      </c>
      <c r="L147" s="90">
        <f t="shared" si="20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8"/>
        <v>0</v>
      </c>
      <c r="I148" s="57">
        <f t="shared" si="18"/>
        <v>0</v>
      </c>
      <c r="J148" s="57"/>
      <c r="K148" s="41">
        <f t="shared" si="19"/>
        <v>0</v>
      </c>
      <c r="L148" s="90">
        <f t="shared" si="20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8"/>
        <v>0</v>
      </c>
      <c r="I149" s="57">
        <f t="shared" si="18"/>
        <v>0</v>
      </c>
      <c r="J149" s="57"/>
      <c r="K149" s="41">
        <f t="shared" si="19"/>
        <v>0</v>
      </c>
      <c r="L149" s="90">
        <f t="shared" si="20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8"/>
        <v>0</v>
      </c>
      <c r="I150" s="57">
        <f t="shared" si="18"/>
        <v>0</v>
      </c>
      <c r="J150" s="57"/>
      <c r="K150" s="41">
        <f t="shared" si="19"/>
        <v>0</v>
      </c>
      <c r="L150" s="90">
        <f t="shared" si="20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8"/>
        <v>0</v>
      </c>
      <c r="I151" s="57">
        <f t="shared" si="18"/>
        <v>0</v>
      </c>
      <c r="J151" s="57"/>
      <c r="K151" s="41">
        <f t="shared" si="19"/>
        <v>0</v>
      </c>
      <c r="L151" s="90">
        <f t="shared" si="20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8"/>
        <v>0</v>
      </c>
      <c r="I152" s="57">
        <f t="shared" si="18"/>
        <v>0</v>
      </c>
      <c r="J152" s="57"/>
      <c r="K152" s="41">
        <f t="shared" si="19"/>
        <v>0</v>
      </c>
      <c r="L152" s="90">
        <f t="shared" si="20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8"/>
        <v>0</v>
      </c>
      <c r="I153" s="57">
        <f t="shared" si="18"/>
        <v>0</v>
      </c>
      <c r="J153" s="57"/>
      <c r="K153" s="41">
        <f t="shared" si="19"/>
        <v>0</v>
      </c>
      <c r="L153" s="90">
        <f t="shared" si="20"/>
        <v>0</v>
      </c>
      <c r="M153" s="156"/>
      <c r="N153" s="101">
        <v>200001022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8"/>
        <v>0</v>
      </c>
      <c r="I154" s="57">
        <f t="shared" si="18"/>
        <v>0</v>
      </c>
      <c r="J154" s="57"/>
      <c r="K154" s="41">
        <f t="shared" si="19"/>
        <v>0</v>
      </c>
      <c r="L154" s="90">
        <f t="shared" si="20"/>
        <v>0</v>
      </c>
      <c r="M154" s="156"/>
      <c r="N154" s="101">
        <v>200001035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1">D155*F155</f>
        <v>0</v>
      </c>
      <c r="I155" s="57">
        <f t="shared" si="21"/>
        <v>0</v>
      </c>
      <c r="J155" s="57"/>
      <c r="K155" s="41">
        <f t="shared" si="19"/>
        <v>0</v>
      </c>
      <c r="L155" s="90">
        <f t="shared" si="20"/>
        <v>0</v>
      </c>
      <c r="M155" s="156"/>
      <c r="N155" s="101">
        <v>200001003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1"/>
        <v>0</v>
      </c>
      <c r="I156" s="57">
        <f t="shared" si="21"/>
        <v>0</v>
      </c>
      <c r="J156" s="57"/>
      <c r="K156" s="41">
        <f t="shared" si="19"/>
        <v>0</v>
      </c>
      <c r="L156" s="90">
        <f t="shared" si="20"/>
        <v>0</v>
      </c>
      <c r="M156" s="156"/>
      <c r="N156" s="101">
        <v>200001023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1"/>
        <v>0</v>
      </c>
      <c r="I157" s="57">
        <f t="shared" si="21"/>
        <v>0</v>
      </c>
      <c r="J157" s="57"/>
      <c r="K157" s="41">
        <f t="shared" si="19"/>
        <v>0</v>
      </c>
      <c r="L157" s="90">
        <f t="shared" si="20"/>
        <v>0</v>
      </c>
      <c r="M157" s="156"/>
      <c r="N157" s="101">
        <v>200001000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1"/>
        <v>0</v>
      </c>
      <c r="I158" s="57">
        <f t="shared" si="21"/>
        <v>0</v>
      </c>
      <c r="J158" s="57"/>
      <c r="K158" s="41">
        <f t="shared" si="19"/>
        <v>0</v>
      </c>
      <c r="L158" s="90">
        <f t="shared" si="20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1"/>
        <v>0</v>
      </c>
      <c r="I159" s="57">
        <f t="shared" si="21"/>
        <v>0</v>
      </c>
      <c r="J159" s="57"/>
      <c r="K159" s="41">
        <f t="shared" si="19"/>
        <v>0</v>
      </c>
      <c r="L159" s="90">
        <f t="shared" si="20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1"/>
        <v>0</v>
      </c>
      <c r="I160" s="57">
        <f t="shared" si="21"/>
        <v>0</v>
      </c>
      <c r="J160" s="57"/>
      <c r="K160" s="41">
        <f t="shared" si="19"/>
        <v>0</v>
      </c>
      <c r="L160" s="90">
        <f t="shared" si="20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1"/>
        <v>0</v>
      </c>
      <c r="I161" s="57">
        <f t="shared" si="21"/>
        <v>0</v>
      </c>
      <c r="J161" s="57"/>
      <c r="K161" s="41">
        <f t="shared" si="19"/>
        <v>0</v>
      </c>
      <c r="L161" s="90">
        <f t="shared" si="20"/>
        <v>0</v>
      </c>
      <c r="M161" s="156"/>
      <c r="N161" s="101">
        <v>200001008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41"/>
      <c r="E162" s="41"/>
      <c r="F162" s="57"/>
      <c r="G162" s="57"/>
      <c r="H162" s="57">
        <f t="shared" si="21"/>
        <v>0</v>
      </c>
      <c r="I162" s="57">
        <f t="shared" si="21"/>
        <v>0</v>
      </c>
      <c r="J162" s="57"/>
      <c r="K162" s="41">
        <f t="shared" si="19"/>
        <v>0</v>
      </c>
      <c r="L162" s="90">
        <f t="shared" si="20"/>
        <v>0</v>
      </c>
      <c r="M162" s="156"/>
      <c r="N162" s="101">
        <v>200001018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1"/>
        <v>0</v>
      </c>
      <c r="I163" s="57">
        <f t="shared" si="21"/>
        <v>0</v>
      </c>
      <c r="J163" s="57"/>
      <c r="K163" s="41">
        <f t="shared" si="19"/>
        <v>0</v>
      </c>
      <c r="L163" s="90">
        <f t="shared" si="20"/>
        <v>0</v>
      </c>
      <c r="M163" s="156"/>
      <c r="N163" s="101">
        <v>200000993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1"/>
        <v>0</v>
      </c>
      <c r="I164" s="57">
        <f t="shared" si="21"/>
        <v>0</v>
      </c>
      <c r="J164" s="57"/>
      <c r="K164" s="41">
        <f t="shared" si="19"/>
        <v>0</v>
      </c>
      <c r="L164" s="90">
        <f t="shared" si="20"/>
        <v>0</v>
      </c>
      <c r="M164" s="156"/>
      <c r="N164" s="101">
        <v>200001021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1"/>
        <v>0</v>
      </c>
      <c r="I165" s="57">
        <f t="shared" si="21"/>
        <v>0</v>
      </c>
      <c r="J165" s="57"/>
      <c r="K165" s="41">
        <f t="shared" si="19"/>
        <v>0</v>
      </c>
      <c r="L165" s="90">
        <f t="shared" si="20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1"/>
        <v>0</v>
      </c>
      <c r="I166" s="57">
        <f t="shared" si="21"/>
        <v>0</v>
      </c>
      <c r="J166" s="57"/>
      <c r="K166" s="41">
        <f t="shared" si="19"/>
        <v>0</v>
      </c>
      <c r="L166" s="90">
        <f t="shared" si="20"/>
        <v>0</v>
      </c>
      <c r="M166" s="156"/>
      <c r="N166" s="101">
        <v>200000991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1"/>
        <v>0</v>
      </c>
      <c r="I167" s="57">
        <f t="shared" si="21"/>
        <v>0</v>
      </c>
      <c r="J167" s="57"/>
      <c r="K167" s="41">
        <f t="shared" si="19"/>
        <v>0</v>
      </c>
      <c r="L167" s="90">
        <f t="shared" si="20"/>
        <v>0</v>
      </c>
      <c r="M167" s="156"/>
      <c r="N167" s="101">
        <v>200000997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1"/>
        <v>0</v>
      </c>
      <c r="I168" s="57">
        <f t="shared" si="21"/>
        <v>0</v>
      </c>
      <c r="J168" s="57"/>
      <c r="K168" s="41">
        <f t="shared" si="19"/>
        <v>0</v>
      </c>
      <c r="L168" s="90">
        <f t="shared" si="20"/>
        <v>0</v>
      </c>
      <c r="M168" s="156"/>
      <c r="N168" s="101">
        <v>200001027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1"/>
        <v>0</v>
      </c>
      <c r="I169" s="57">
        <f t="shared" si="21"/>
        <v>0</v>
      </c>
      <c r="J169" s="57"/>
      <c r="K169" s="41">
        <f t="shared" si="19"/>
        <v>0</v>
      </c>
      <c r="L169" s="90">
        <f t="shared" si="20"/>
        <v>0</v>
      </c>
      <c r="M169" s="156"/>
      <c r="N169" s="101">
        <v>200001006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1"/>
        <v>0</v>
      </c>
      <c r="I170" s="57">
        <f t="shared" si="21"/>
        <v>0</v>
      </c>
      <c r="J170" s="57"/>
      <c r="K170" s="41">
        <f t="shared" si="19"/>
        <v>0</v>
      </c>
      <c r="L170" s="90">
        <f t="shared" si="20"/>
        <v>0</v>
      </c>
      <c r="M170" s="156"/>
      <c r="N170" s="101">
        <v>200001014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1"/>
        <v>0</v>
      </c>
      <c r="I171" s="57">
        <f t="shared" si="21"/>
        <v>0</v>
      </c>
      <c r="J171" s="57"/>
      <c r="K171" s="41">
        <f t="shared" si="19"/>
        <v>0</v>
      </c>
      <c r="L171" s="90">
        <f t="shared" si="20"/>
        <v>0</v>
      </c>
      <c r="M171" s="156"/>
      <c r="N171" s="101">
        <v>200000999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1"/>
        <v>0</v>
      </c>
      <c r="I172" s="57">
        <f t="shared" si="21"/>
        <v>0</v>
      </c>
      <c r="J172" s="57"/>
      <c r="K172" s="41">
        <f t="shared" si="19"/>
        <v>0</v>
      </c>
      <c r="L172" s="90">
        <f t="shared" si="20"/>
        <v>0</v>
      </c>
      <c r="M172" s="156"/>
      <c r="N172" s="101">
        <v>200000267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1"/>
        <v>0</v>
      </c>
      <c r="I173" s="57">
        <f t="shared" si="21"/>
        <v>0</v>
      </c>
      <c r="J173" s="57"/>
      <c r="K173" s="41">
        <f t="shared" si="19"/>
        <v>0</v>
      </c>
      <c r="L173" s="90">
        <f t="shared" si="20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1"/>
        <v>0</v>
      </c>
      <c r="I174" s="57">
        <f t="shared" si="21"/>
        <v>0</v>
      </c>
      <c r="J174" s="57"/>
      <c r="K174" s="41">
        <f t="shared" si="19"/>
        <v>0</v>
      </c>
      <c r="L174" s="90">
        <f t="shared" si="20"/>
        <v>0</v>
      </c>
      <c r="M174" s="156"/>
      <c r="N174" s="101">
        <v>200000978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1"/>
        <v>0</v>
      </c>
      <c r="I175" s="57">
        <f t="shared" si="21"/>
        <v>0</v>
      </c>
      <c r="J175" s="57"/>
      <c r="K175" s="41">
        <f t="shared" si="19"/>
        <v>0</v>
      </c>
      <c r="L175" s="90">
        <f t="shared" si="20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1"/>
        <v>0</v>
      </c>
      <c r="I176" s="57">
        <f t="shared" si="21"/>
        <v>0</v>
      </c>
      <c r="J176" s="57"/>
      <c r="K176" s="41">
        <f t="shared" si="19"/>
        <v>0</v>
      </c>
      <c r="L176" s="90">
        <f t="shared" si="20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1"/>
        <v>0</v>
      </c>
      <c r="I177" s="57">
        <f t="shared" si="21"/>
        <v>0</v>
      </c>
      <c r="J177" s="57"/>
      <c r="K177" s="41">
        <f t="shared" si="19"/>
        <v>0</v>
      </c>
      <c r="L177" s="90">
        <f t="shared" si="20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1"/>
        <v>0</v>
      </c>
      <c r="I178" s="57">
        <f t="shared" si="21"/>
        <v>0</v>
      </c>
      <c r="J178" s="57"/>
      <c r="K178" s="41">
        <f t="shared" si="19"/>
        <v>0</v>
      </c>
      <c r="L178" s="90">
        <f t="shared" si="20"/>
        <v>0</v>
      </c>
      <c r="M178" s="156"/>
      <c r="N178" s="101">
        <v>200001032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1"/>
        <v>0</v>
      </c>
      <c r="I179" s="57">
        <f t="shared" si="21"/>
        <v>0</v>
      </c>
      <c r="J179" s="57"/>
      <c r="K179" s="41">
        <f t="shared" si="19"/>
        <v>0</v>
      </c>
      <c r="L179" s="90">
        <f t="shared" si="20"/>
        <v>0</v>
      </c>
      <c r="M179" s="156"/>
      <c r="N179" s="101">
        <v>500002060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1"/>
        <v>0</v>
      </c>
      <c r="I180" s="57">
        <f t="shared" si="21"/>
        <v>0</v>
      </c>
      <c r="J180" s="57"/>
      <c r="K180" s="41">
        <f t="shared" si="19"/>
        <v>0</v>
      </c>
      <c r="L180" s="90">
        <f t="shared" si="20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1"/>
        <v>0</v>
      </c>
      <c r="I181" s="57">
        <f t="shared" si="21"/>
        <v>0</v>
      </c>
      <c r="J181" s="57"/>
      <c r="K181" s="41">
        <f t="shared" si="19"/>
        <v>0</v>
      </c>
      <c r="L181" s="90">
        <f t="shared" si="20"/>
        <v>0</v>
      </c>
      <c r="M181" s="156"/>
      <c r="N181" s="101">
        <v>500001316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1"/>
        <v>0</v>
      </c>
      <c r="I182" s="57">
        <f t="shared" si="21"/>
        <v>0</v>
      </c>
      <c r="J182" s="57"/>
      <c r="K182" s="41">
        <f t="shared" si="19"/>
        <v>0</v>
      </c>
      <c r="L182" s="90">
        <f t="shared" si="20"/>
        <v>0</v>
      </c>
      <c r="M182" s="156"/>
      <c r="N182" s="101">
        <v>200000992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1"/>
        <v>0</v>
      </c>
      <c r="I183" s="57">
        <f t="shared" si="21"/>
        <v>0</v>
      </c>
      <c r="J183" s="57"/>
      <c r="K183" s="41">
        <f t="shared" si="19"/>
        <v>0</v>
      </c>
      <c r="L183" s="90">
        <f t="shared" si="20"/>
        <v>0</v>
      </c>
      <c r="M183" s="156"/>
      <c r="N183" s="101">
        <v>500002061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1"/>
        <v>0</v>
      </c>
      <c r="I184" s="57">
        <f t="shared" si="21"/>
        <v>0</v>
      </c>
      <c r="J184" s="57"/>
      <c r="K184" s="41">
        <f t="shared" si="19"/>
        <v>0</v>
      </c>
      <c r="L184" s="90">
        <f t="shared" si="20"/>
        <v>0</v>
      </c>
      <c r="M184" s="156"/>
      <c r="N184" s="101">
        <v>200001013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1"/>
        <v>0</v>
      </c>
      <c r="I185" s="57">
        <f t="shared" si="21"/>
        <v>0</v>
      </c>
      <c r="J185" s="57"/>
      <c r="K185" s="41">
        <f t="shared" si="19"/>
        <v>0</v>
      </c>
      <c r="L185" s="90">
        <f t="shared" si="20"/>
        <v>0</v>
      </c>
      <c r="M185" s="156"/>
      <c r="N185" s="101">
        <v>500002063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2">D188+E188</f>
        <v>0</v>
      </c>
      <c r="L188" s="90">
        <f t="shared" ref="L188:L205" si="23">F188+G188</f>
        <v>0</v>
      </c>
      <c r="M188" s="156"/>
      <c r="N188" s="101">
        <v>200000977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4">D189*F189</f>
        <v>0</v>
      </c>
      <c r="I189" s="57">
        <f t="shared" si="24"/>
        <v>0</v>
      </c>
      <c r="J189" s="57"/>
      <c r="K189" s="41">
        <f t="shared" si="22"/>
        <v>0</v>
      </c>
      <c r="L189" s="90">
        <f t="shared" si="23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4"/>
        <v>0</v>
      </c>
      <c r="I190" s="57">
        <f t="shared" si="24"/>
        <v>0</v>
      </c>
      <c r="J190" s="57"/>
      <c r="K190" s="41">
        <f t="shared" si="22"/>
        <v>0</v>
      </c>
      <c r="L190" s="90">
        <f t="shared" si="23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4"/>
        <v>0</v>
      </c>
      <c r="I191" s="57">
        <f t="shared" si="24"/>
        <v>0</v>
      </c>
      <c r="J191" s="57"/>
      <c r="K191" s="41">
        <f t="shared" si="22"/>
        <v>0</v>
      </c>
      <c r="L191" s="90">
        <f t="shared" si="23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4"/>
        <v>0</v>
      </c>
      <c r="I192" s="57">
        <f t="shared" si="24"/>
        <v>0</v>
      </c>
      <c r="J192" s="57"/>
      <c r="K192" s="41">
        <f t="shared" si="22"/>
        <v>0</v>
      </c>
      <c r="L192" s="90">
        <f t="shared" si="23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4"/>
        <v>0</v>
      </c>
      <c r="I193" s="57">
        <f t="shared" si="24"/>
        <v>0</v>
      </c>
      <c r="J193" s="57"/>
      <c r="K193" s="41">
        <f t="shared" si="22"/>
        <v>0</v>
      </c>
      <c r="L193" s="90">
        <f t="shared" si="23"/>
        <v>0</v>
      </c>
      <c r="M193" s="156"/>
      <c r="N193" s="101">
        <v>200000995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4"/>
        <v>0</v>
      </c>
      <c r="I194" s="57">
        <f t="shared" si="24"/>
        <v>0</v>
      </c>
      <c r="J194" s="57"/>
      <c r="K194" s="41">
        <f t="shared" si="22"/>
        <v>0</v>
      </c>
      <c r="L194" s="90">
        <f t="shared" si="23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4"/>
        <v>0</v>
      </c>
      <c r="I195" s="57">
        <f t="shared" si="24"/>
        <v>0</v>
      </c>
      <c r="J195" s="57"/>
      <c r="K195" s="41">
        <f t="shared" si="22"/>
        <v>0</v>
      </c>
      <c r="L195" s="90">
        <f t="shared" si="23"/>
        <v>0</v>
      </c>
      <c r="M195" s="156"/>
      <c r="N195" s="101">
        <v>500002067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4"/>
        <v>0</v>
      </c>
      <c r="I196" s="57">
        <f t="shared" si="24"/>
        <v>0</v>
      </c>
      <c r="J196" s="57"/>
      <c r="K196" s="41">
        <f t="shared" si="22"/>
        <v>0</v>
      </c>
      <c r="L196" s="90">
        <f t="shared" si="23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4"/>
        <v>0</v>
      </c>
      <c r="I197" s="57">
        <f t="shared" si="24"/>
        <v>0</v>
      </c>
      <c r="J197" s="57"/>
      <c r="K197" s="41">
        <f t="shared" si="22"/>
        <v>0</v>
      </c>
      <c r="L197" s="90">
        <f t="shared" si="23"/>
        <v>0</v>
      </c>
      <c r="M197" s="156" t="s">
        <v>423</v>
      </c>
      <c r="N197" s="38">
        <v>500002148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4"/>
        <v>0</v>
      </c>
      <c r="I198" s="57">
        <f t="shared" si="24"/>
        <v>0</v>
      </c>
      <c r="J198" s="57"/>
      <c r="K198" s="41">
        <f t="shared" si="22"/>
        <v>0</v>
      </c>
      <c r="L198" s="90">
        <f t="shared" si="23"/>
        <v>0</v>
      </c>
      <c r="M198" s="156" t="s">
        <v>427</v>
      </c>
      <c r="N198" s="38">
        <v>500002149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4"/>
        <v>0</v>
      </c>
      <c r="I199" s="57">
        <f t="shared" si="24"/>
        <v>0</v>
      </c>
      <c r="J199" s="57"/>
      <c r="K199" s="41">
        <f t="shared" si="22"/>
        <v>0</v>
      </c>
      <c r="L199" s="90">
        <f t="shared" si="23"/>
        <v>0</v>
      </c>
      <c r="M199" s="156" t="s">
        <v>430</v>
      </c>
      <c r="N199" s="38">
        <v>500002150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4"/>
        <v>0</v>
      </c>
      <c r="I200" s="57">
        <f t="shared" si="24"/>
        <v>0</v>
      </c>
      <c r="J200" s="57"/>
      <c r="K200" s="41">
        <f t="shared" si="22"/>
        <v>0</v>
      </c>
      <c r="L200" s="90">
        <f t="shared" si="23"/>
        <v>0</v>
      </c>
      <c r="M200" s="156" t="s">
        <v>434</v>
      </c>
      <c r="N200" s="38">
        <v>500002151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4"/>
        <v>0</v>
      </c>
      <c r="I201" s="57">
        <f t="shared" si="24"/>
        <v>0</v>
      </c>
      <c r="J201" s="57"/>
      <c r="K201" s="41">
        <f t="shared" si="22"/>
        <v>0</v>
      </c>
      <c r="L201" s="90">
        <f t="shared" si="23"/>
        <v>0</v>
      </c>
      <c r="M201" s="156" t="s">
        <v>436</v>
      </c>
      <c r="N201" s="38">
        <v>500002152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4"/>
        <v>0</v>
      </c>
      <c r="I202" s="57">
        <f t="shared" si="24"/>
        <v>0</v>
      </c>
      <c r="J202" s="57"/>
      <c r="K202" s="41">
        <f t="shared" si="22"/>
        <v>0</v>
      </c>
      <c r="L202" s="90">
        <f t="shared" si="23"/>
        <v>0</v>
      </c>
      <c r="M202" s="156" t="s">
        <v>439</v>
      </c>
      <c r="N202" s="38">
        <v>500002153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4"/>
        <v>0</v>
      </c>
      <c r="I203" s="57">
        <f t="shared" si="24"/>
        <v>0</v>
      </c>
      <c r="J203" s="57"/>
      <c r="K203" s="41">
        <f t="shared" si="22"/>
        <v>0</v>
      </c>
      <c r="L203" s="90">
        <f t="shared" si="23"/>
        <v>0</v>
      </c>
      <c r="M203" s="156" t="s">
        <v>442</v>
      </c>
      <c r="N203" s="38">
        <v>500002154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277">
        <v>1</v>
      </c>
      <c r="F204" s="258"/>
      <c r="G204" s="259">
        <v>6305084</v>
      </c>
      <c r="H204" s="258">
        <f t="shared" si="24"/>
        <v>0</v>
      </c>
      <c r="I204" s="258">
        <f t="shared" si="24"/>
        <v>6305084</v>
      </c>
      <c r="J204" s="258"/>
      <c r="K204" s="41">
        <f t="shared" si="22"/>
        <v>1</v>
      </c>
      <c r="L204" s="90">
        <f t="shared" si="23"/>
        <v>6305084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4"/>
        <v>0</v>
      </c>
      <c r="I205" s="57">
        <f t="shared" si="24"/>
        <v>0</v>
      </c>
      <c r="J205" s="57"/>
      <c r="K205" s="41">
        <f t="shared" si="22"/>
        <v>0</v>
      </c>
      <c r="L205" s="90">
        <f t="shared" si="23"/>
        <v>0</v>
      </c>
      <c r="M205" s="156" t="s">
        <v>447</v>
      </c>
      <c r="N205" s="38">
        <v>500002156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6305084</v>
      </c>
      <c r="J206" s="51">
        <f>H206+I206</f>
        <v>6305084</v>
      </c>
      <c r="K206" s="51"/>
      <c r="L206" s="51"/>
      <c r="M206" s="51">
        <f>I206</f>
        <v>6305084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5">D210+E210</f>
        <v>0</v>
      </c>
      <c r="L210" s="90">
        <f t="shared" ref="L210:L231" si="26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7">D211*F211</f>
        <v>0</v>
      </c>
      <c r="I211" s="154">
        <f t="shared" si="27"/>
        <v>0</v>
      </c>
      <c r="J211" s="159"/>
      <c r="K211" s="90">
        <f t="shared" si="25"/>
        <v>0</v>
      </c>
      <c r="L211" s="90">
        <f t="shared" si="26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7"/>
        <v>0</v>
      </c>
      <c r="I212" s="154">
        <f t="shared" si="27"/>
        <v>0</v>
      </c>
      <c r="J212" s="159"/>
      <c r="K212" s="90">
        <f t="shared" si="25"/>
        <v>0</v>
      </c>
      <c r="L212" s="90">
        <f t="shared" si="26"/>
        <v>0</v>
      </c>
      <c r="M212" s="156"/>
      <c r="N212" s="101">
        <v>500001293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8">
        <f>'BoM AE'!C54</f>
        <v>0</v>
      </c>
      <c r="E213" s="90"/>
      <c r="F213" s="68"/>
      <c r="G213" s="68"/>
      <c r="H213" s="154">
        <f t="shared" si="27"/>
        <v>0</v>
      </c>
      <c r="I213" s="154">
        <f t="shared" si="27"/>
        <v>0</v>
      </c>
      <c r="J213" s="159"/>
      <c r="K213" s="90">
        <f t="shared" si="25"/>
        <v>0</v>
      </c>
      <c r="L213" s="90">
        <f t="shared" si="26"/>
        <v>0</v>
      </c>
      <c r="M213" s="66"/>
      <c r="N213" s="276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8">
        <f>D213</f>
        <v>0</v>
      </c>
      <c r="F214" s="68"/>
      <c r="G214" s="68"/>
      <c r="H214" s="154">
        <f t="shared" si="27"/>
        <v>0</v>
      </c>
      <c r="I214" s="154">
        <f t="shared" si="27"/>
        <v>0</v>
      </c>
      <c r="J214" s="159"/>
      <c r="K214" s="90">
        <f t="shared" si="25"/>
        <v>0</v>
      </c>
      <c r="L214" s="90">
        <f t="shared" si="26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8">
        <f>'BoM AE'!C58</f>
        <v>0</v>
      </c>
      <c r="E215" s="90"/>
      <c r="F215" s="42"/>
      <c r="G215" s="68"/>
      <c r="H215" s="154">
        <f t="shared" si="27"/>
        <v>0</v>
      </c>
      <c r="I215" s="154">
        <f t="shared" si="27"/>
        <v>0</v>
      </c>
      <c r="J215" s="159"/>
      <c r="K215" s="90">
        <f t="shared" si="25"/>
        <v>0</v>
      </c>
      <c r="L215" s="90">
        <f t="shared" si="26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8">
        <f>D215</f>
        <v>0</v>
      </c>
      <c r="F216" s="68"/>
      <c r="G216" s="42"/>
      <c r="H216" s="154">
        <f t="shared" si="27"/>
        <v>0</v>
      </c>
      <c r="I216" s="154">
        <f t="shared" si="27"/>
        <v>0</v>
      </c>
      <c r="J216" s="159"/>
      <c r="K216" s="90">
        <f t="shared" si="25"/>
        <v>0</v>
      </c>
      <c r="L216" s="90">
        <f t="shared" si="26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8">
        <f>'BoM AE'!C55</f>
        <v>1</v>
      </c>
      <c r="E217" s="90"/>
      <c r="F217" s="42"/>
      <c r="G217" s="68"/>
      <c r="H217" s="154">
        <f t="shared" si="27"/>
        <v>0</v>
      </c>
      <c r="I217" s="154">
        <f t="shared" si="27"/>
        <v>0</v>
      </c>
      <c r="J217" s="159"/>
      <c r="K217" s="90">
        <f t="shared" si="25"/>
        <v>1</v>
      </c>
      <c r="L217" s="90">
        <f t="shared" si="26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8">
        <f>D217</f>
        <v>1</v>
      </c>
      <c r="F218" s="68"/>
      <c r="G218" s="42"/>
      <c r="H218" s="154">
        <f t="shared" si="27"/>
        <v>0</v>
      </c>
      <c r="I218" s="154">
        <f t="shared" si="27"/>
        <v>0</v>
      </c>
      <c r="J218" s="159"/>
      <c r="K218" s="90">
        <f t="shared" si="25"/>
        <v>1</v>
      </c>
      <c r="L218" s="90">
        <f t="shared" si="26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5" t="s">
        <v>845</v>
      </c>
      <c r="C219" s="296" t="s">
        <v>109</v>
      </c>
      <c r="D219" s="278">
        <f>'BoM AE'!C56</f>
        <v>5</v>
      </c>
      <c r="E219" s="305"/>
      <c r="F219" s="68"/>
      <c r="G219" s="42"/>
      <c r="H219" s="154"/>
      <c r="I219" s="154"/>
      <c r="J219" s="159"/>
      <c r="K219" s="90"/>
      <c r="L219" s="90"/>
      <c r="M219" s="105"/>
      <c r="N219" s="296">
        <v>200002675</v>
      </c>
      <c r="O219" s="304" t="s">
        <v>847</v>
      </c>
      <c r="P219" s="301" t="s">
        <v>28</v>
      </c>
      <c r="Q219" s="119"/>
      <c r="R219" s="112"/>
    </row>
    <row r="220" spans="1:28">
      <c r="A220" s="75"/>
      <c r="B220" s="295" t="s">
        <v>846</v>
      </c>
      <c r="C220" s="296" t="s">
        <v>109</v>
      </c>
      <c r="D220" s="90"/>
      <c r="E220" s="278">
        <f>D219</f>
        <v>5</v>
      </c>
      <c r="F220" s="68"/>
      <c r="G220" s="42"/>
      <c r="H220" s="154"/>
      <c r="I220" s="154"/>
      <c r="J220" s="159"/>
      <c r="K220" s="90"/>
      <c r="L220" s="90"/>
      <c r="M220" s="105"/>
      <c r="N220" s="296">
        <v>500004729</v>
      </c>
      <c r="O220" s="304" t="s">
        <v>848</v>
      </c>
      <c r="P220" s="301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7"/>
        <v>0</v>
      </c>
      <c r="I221" s="154">
        <f t="shared" si="27"/>
        <v>0</v>
      </c>
      <c r="J221" s="159"/>
      <c r="K221" s="90">
        <f t="shared" si="25"/>
        <v>0</v>
      </c>
      <c r="L221" s="90">
        <f t="shared" si="26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7"/>
        <v>0</v>
      </c>
      <c r="I222" s="154">
        <f t="shared" si="27"/>
        <v>0</v>
      </c>
      <c r="J222" s="159"/>
      <c r="K222" s="90">
        <f t="shared" si="25"/>
        <v>0</v>
      </c>
      <c r="L222" s="90">
        <f t="shared" si="26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7"/>
        <v>0</v>
      </c>
      <c r="I223" s="154">
        <f t="shared" si="27"/>
        <v>0</v>
      </c>
      <c r="J223" s="159"/>
      <c r="K223" s="90">
        <f t="shared" si="25"/>
        <v>0</v>
      </c>
      <c r="L223" s="90">
        <f t="shared" si="26"/>
        <v>0</v>
      </c>
      <c r="M223" s="156"/>
      <c r="N223" s="101">
        <v>200000979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7"/>
        <v>0</v>
      </c>
      <c r="I224" s="154">
        <f t="shared" si="27"/>
        <v>0</v>
      </c>
      <c r="J224" s="159"/>
      <c r="K224" s="90">
        <f t="shared" si="25"/>
        <v>0</v>
      </c>
      <c r="L224" s="90">
        <f t="shared" si="26"/>
        <v>0</v>
      </c>
      <c r="M224" s="156"/>
      <c r="N224" s="101">
        <v>200001007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8">
        <f>'BoM AE'!C62</f>
        <v>12</v>
      </c>
      <c r="E225" s="90">
        <f>D225</f>
        <v>12</v>
      </c>
      <c r="F225" s="42"/>
      <c r="G225" s="74"/>
      <c r="H225" s="154">
        <f t="shared" si="27"/>
        <v>0</v>
      </c>
      <c r="I225" s="154">
        <f t="shared" si="27"/>
        <v>0</v>
      </c>
      <c r="J225" s="159"/>
      <c r="K225" s="90">
        <f t="shared" si="25"/>
        <v>24</v>
      </c>
      <c r="L225" s="90">
        <f t="shared" si="26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278">
        <f>'BoM AE'!C29</f>
        <v>196</v>
      </c>
      <c r="E226" s="90">
        <f>D226</f>
        <v>196</v>
      </c>
      <c r="F226" s="74"/>
      <c r="G226" s="42"/>
      <c r="H226" s="154">
        <f t="shared" si="27"/>
        <v>0</v>
      </c>
      <c r="I226" s="154">
        <f t="shared" si="27"/>
        <v>0</v>
      </c>
      <c r="J226" s="159"/>
      <c r="K226" s="90">
        <f t="shared" si="25"/>
        <v>392</v>
      </c>
      <c r="L226" s="90">
        <f t="shared" si="26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7"/>
        <v>0</v>
      </c>
      <c r="I227" s="154">
        <f t="shared" si="27"/>
        <v>0</v>
      </c>
      <c r="J227" s="159"/>
      <c r="K227" s="90">
        <f t="shared" si="25"/>
        <v>0</v>
      </c>
      <c r="L227" s="90">
        <f t="shared" si="26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8">
        <f>'BoM AE'!C63</f>
        <v>44</v>
      </c>
      <c r="E228" s="90">
        <f>D228</f>
        <v>44</v>
      </c>
      <c r="F228" s="42"/>
      <c r="G228" s="74"/>
      <c r="H228" s="154">
        <f t="shared" si="27"/>
        <v>0</v>
      </c>
      <c r="I228" s="154">
        <f t="shared" si="27"/>
        <v>0</v>
      </c>
      <c r="J228" s="159"/>
      <c r="K228" s="90">
        <f t="shared" si="25"/>
        <v>88</v>
      </c>
      <c r="L228" s="90">
        <f t="shared" si="26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8">
        <f>'BoM AE'!C64</f>
        <v>4.4000000000000004</v>
      </c>
      <c r="E229" s="90">
        <f t="shared" ref="E229:E241" si="28">D229</f>
        <v>4.4000000000000004</v>
      </c>
      <c r="F229" s="42"/>
      <c r="G229" s="74"/>
      <c r="H229" s="154">
        <f t="shared" si="27"/>
        <v>0</v>
      </c>
      <c r="I229" s="154">
        <f t="shared" si="27"/>
        <v>0</v>
      </c>
      <c r="J229" s="159"/>
      <c r="K229" s="90">
        <f t="shared" si="25"/>
        <v>8.8000000000000007</v>
      </c>
      <c r="L229" s="90">
        <f t="shared" si="26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>
        <f t="shared" si="28"/>
        <v>0</v>
      </c>
      <c r="F230" s="162"/>
      <c r="G230" s="74"/>
      <c r="H230" s="154">
        <f t="shared" si="27"/>
        <v>0</v>
      </c>
      <c r="I230" s="154">
        <f t="shared" si="27"/>
        <v>0</v>
      </c>
      <c r="J230" s="159"/>
      <c r="K230" s="90">
        <f t="shared" si="25"/>
        <v>0</v>
      </c>
      <c r="L230" s="90">
        <f t="shared" si="26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8">
        <f>'BoM AE'!C65</f>
        <v>29.400000000000002</v>
      </c>
      <c r="E231" s="90">
        <f t="shared" si="28"/>
        <v>29.400000000000002</v>
      </c>
      <c r="F231" s="42"/>
      <c r="G231" s="74"/>
      <c r="H231" s="154">
        <f t="shared" si="27"/>
        <v>0</v>
      </c>
      <c r="I231" s="154">
        <f t="shared" si="27"/>
        <v>0</v>
      </c>
      <c r="J231" s="159"/>
      <c r="K231" s="90">
        <f t="shared" si="25"/>
        <v>58.800000000000004</v>
      </c>
      <c r="L231" s="90">
        <f t="shared" si="26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AE'!C68</f>
        <v>0</v>
      </c>
      <c r="E232" s="90">
        <f t="shared" si="28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>
        <f t="shared" si="28"/>
        <v>0</v>
      </c>
      <c r="F233" s="162"/>
      <c r="G233" s="74"/>
      <c r="H233" s="154">
        <f t="shared" ref="H233:I240" si="29">D233*F233</f>
        <v>0</v>
      </c>
      <c r="I233" s="154">
        <f t="shared" si="29"/>
        <v>0</v>
      </c>
      <c r="J233" s="159"/>
      <c r="K233" s="90">
        <f t="shared" ref="K233:K241" si="30">D233+E233</f>
        <v>0</v>
      </c>
      <c r="L233" s="90">
        <f t="shared" ref="L233:L241" si="31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>
        <f>'BoM AE'!C105</f>
        <v>0</v>
      </c>
      <c r="E234" s="90">
        <f t="shared" si="28"/>
        <v>0</v>
      </c>
      <c r="F234" s="162"/>
      <c r="G234" s="74"/>
      <c r="H234" s="154">
        <f t="shared" si="29"/>
        <v>0</v>
      </c>
      <c r="I234" s="154">
        <f t="shared" si="29"/>
        <v>0</v>
      </c>
      <c r="J234" s="159"/>
      <c r="K234" s="90">
        <f t="shared" si="30"/>
        <v>0</v>
      </c>
      <c r="L234" s="90">
        <f t="shared" si="31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8">
        <f>'BoM AE'!C70</f>
        <v>4.4000000000000004</v>
      </c>
      <c r="E235" s="90">
        <f t="shared" si="28"/>
        <v>4.4000000000000004</v>
      </c>
      <c r="F235" s="162"/>
      <c r="G235" s="74"/>
      <c r="H235" s="154">
        <f t="shared" si="29"/>
        <v>0</v>
      </c>
      <c r="I235" s="154">
        <f t="shared" si="29"/>
        <v>0</v>
      </c>
      <c r="J235" s="159"/>
      <c r="K235" s="90">
        <f t="shared" si="30"/>
        <v>8.8000000000000007</v>
      </c>
      <c r="L235" s="90">
        <f t="shared" si="31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8">
        <f>'BoM AE'!C69</f>
        <v>22.6</v>
      </c>
      <c r="E236" s="90">
        <f t="shared" si="28"/>
        <v>22.6</v>
      </c>
      <c r="F236" s="42"/>
      <c r="G236" s="74"/>
      <c r="H236" s="154">
        <f t="shared" si="29"/>
        <v>0</v>
      </c>
      <c r="I236" s="154">
        <f t="shared" si="29"/>
        <v>0</v>
      </c>
      <c r="J236" s="159"/>
      <c r="K236" s="90">
        <f t="shared" si="30"/>
        <v>45.2</v>
      </c>
      <c r="L236" s="90">
        <f t="shared" si="31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>
        <f t="shared" si="28"/>
        <v>0</v>
      </c>
      <c r="F237" s="162"/>
      <c r="G237" s="74"/>
      <c r="H237" s="154">
        <f t="shared" si="29"/>
        <v>0</v>
      </c>
      <c r="I237" s="154">
        <f t="shared" si="29"/>
        <v>0</v>
      </c>
      <c r="J237" s="159"/>
      <c r="K237" s="90">
        <f t="shared" si="30"/>
        <v>0</v>
      </c>
      <c r="L237" s="90">
        <f t="shared" si="31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8">
        <f>'BoM AE'!C66</f>
        <v>45.2</v>
      </c>
      <c r="E238" s="90">
        <f t="shared" si="28"/>
        <v>45.2</v>
      </c>
      <c r="F238" s="42"/>
      <c r="G238" s="74"/>
      <c r="H238" s="154">
        <f t="shared" si="29"/>
        <v>0</v>
      </c>
      <c r="I238" s="154">
        <f t="shared" si="29"/>
        <v>0</v>
      </c>
      <c r="J238" s="159"/>
      <c r="K238" s="90">
        <f t="shared" si="30"/>
        <v>90.4</v>
      </c>
      <c r="L238" s="90">
        <f t="shared" si="31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8">
        <f>'BoM AE'!C67</f>
        <v>6</v>
      </c>
      <c r="E239" s="90">
        <f t="shared" si="28"/>
        <v>6</v>
      </c>
      <c r="F239" s="42"/>
      <c r="G239" s="74"/>
      <c r="H239" s="154">
        <f t="shared" si="29"/>
        <v>0</v>
      </c>
      <c r="I239" s="154">
        <f t="shared" si="29"/>
        <v>0</v>
      </c>
      <c r="J239" s="159"/>
      <c r="K239" s="90">
        <f t="shared" si="30"/>
        <v>12</v>
      </c>
      <c r="L239" s="90">
        <f t="shared" si="31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AE'!C71</f>
        <v>0</v>
      </c>
      <c r="E240" s="90">
        <f t="shared" si="28"/>
        <v>0</v>
      </c>
      <c r="F240" s="42"/>
      <c r="G240" s="74"/>
      <c r="H240" s="154">
        <f t="shared" si="29"/>
        <v>0</v>
      </c>
      <c r="I240" s="154">
        <f t="shared" si="29"/>
        <v>0</v>
      </c>
      <c r="J240" s="159"/>
      <c r="K240" s="90">
        <f t="shared" si="30"/>
        <v>0</v>
      </c>
      <c r="L240" s="90">
        <f t="shared" si="31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5">
      <c r="A241" s="160"/>
      <c r="B241" s="5" t="s">
        <v>504</v>
      </c>
      <c r="C241" s="148" t="s">
        <v>167</v>
      </c>
      <c r="D241" s="90">
        <f>'BoM AE'!C72</f>
        <v>0</v>
      </c>
      <c r="E241" s="90">
        <f t="shared" si="28"/>
        <v>0</v>
      </c>
      <c r="F241" s="42"/>
      <c r="G241" s="74"/>
      <c r="H241" s="154"/>
      <c r="I241" s="154"/>
      <c r="J241" s="159"/>
      <c r="K241" s="90">
        <f t="shared" si="30"/>
        <v>0</v>
      </c>
      <c r="L241" s="90">
        <f t="shared" si="31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2">D245*F245</f>
        <v>0</v>
      </c>
      <c r="I245" s="154">
        <f t="shared" si="32"/>
        <v>0</v>
      </c>
      <c r="J245" s="58"/>
      <c r="K245" s="41">
        <f t="shared" ref="K245:K280" si="33">D245+E245</f>
        <v>0</v>
      </c>
      <c r="L245" s="90">
        <f t="shared" ref="L245:L280" si="34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2"/>
        <v>0</v>
      </c>
      <c r="I246" s="154">
        <f t="shared" si="32"/>
        <v>0</v>
      </c>
      <c r="J246" s="58"/>
      <c r="K246" s="41">
        <f t="shared" si="33"/>
        <v>0</v>
      </c>
      <c r="L246" s="90">
        <f t="shared" si="34"/>
        <v>0</v>
      </c>
      <c r="M246" s="58"/>
      <c r="N246" s="101">
        <v>200001001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2"/>
        <v>0</v>
      </c>
      <c r="I247" s="154">
        <f t="shared" si="32"/>
        <v>0</v>
      </c>
      <c r="J247" s="58"/>
      <c r="K247" s="41">
        <f t="shared" si="33"/>
        <v>0</v>
      </c>
      <c r="L247" s="90">
        <f t="shared" si="34"/>
        <v>0</v>
      </c>
      <c r="M247" s="58"/>
      <c r="N247" s="101">
        <v>500002069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2"/>
        <v>0</v>
      </c>
      <c r="I248" s="154">
        <f t="shared" si="32"/>
        <v>0</v>
      </c>
      <c r="J248" s="58"/>
      <c r="K248" s="41">
        <f t="shared" si="33"/>
        <v>0</v>
      </c>
      <c r="L248" s="90">
        <f t="shared" si="34"/>
        <v>0</v>
      </c>
      <c r="M248" s="58"/>
      <c r="N248" s="101">
        <v>200001005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2"/>
        <v>0</v>
      </c>
      <c r="I249" s="154">
        <f t="shared" si="32"/>
        <v>0</v>
      </c>
      <c r="J249" s="58"/>
      <c r="K249" s="41">
        <f t="shared" si="33"/>
        <v>0</v>
      </c>
      <c r="L249" s="90">
        <f t="shared" si="34"/>
        <v>0</v>
      </c>
      <c r="M249" s="58"/>
      <c r="N249" s="101">
        <v>500002070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2"/>
        <v>0</v>
      </c>
      <c r="I250" s="154">
        <f t="shared" si="32"/>
        <v>0</v>
      </c>
      <c r="J250" s="58"/>
      <c r="K250" s="41">
        <f t="shared" si="33"/>
        <v>0</v>
      </c>
      <c r="L250" s="90">
        <f t="shared" si="34"/>
        <v>0</v>
      </c>
      <c r="M250" s="58"/>
      <c r="N250" s="101">
        <v>200001036</v>
      </c>
      <c r="O250" s="102" t="s">
        <v>523</v>
      </c>
      <c r="P250" s="67" t="s">
        <v>28</v>
      </c>
      <c r="Q250" s="119"/>
      <c r="R250" s="121"/>
    </row>
    <row r="251" spans="1:28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2"/>
        <v>0</v>
      </c>
      <c r="I251" s="154">
        <f t="shared" si="32"/>
        <v>0</v>
      </c>
      <c r="J251" s="58"/>
      <c r="K251" s="41">
        <f t="shared" si="33"/>
        <v>0</v>
      </c>
      <c r="L251" s="90">
        <f t="shared" si="34"/>
        <v>0</v>
      </c>
      <c r="M251" s="58"/>
      <c r="N251" s="101">
        <v>500002071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2"/>
        <v>0</v>
      </c>
      <c r="I252" s="154">
        <f t="shared" si="32"/>
        <v>0</v>
      </c>
      <c r="J252" s="58"/>
      <c r="K252" s="41">
        <f t="shared" si="33"/>
        <v>0</v>
      </c>
      <c r="L252" s="90">
        <f t="shared" si="34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2"/>
        <v>0</v>
      </c>
      <c r="I253" s="154">
        <f t="shared" si="32"/>
        <v>0</v>
      </c>
      <c r="J253" s="58"/>
      <c r="K253" s="41">
        <f t="shared" si="33"/>
        <v>0</v>
      </c>
      <c r="L253" s="90">
        <f t="shared" si="34"/>
        <v>0</v>
      </c>
      <c r="M253" s="58"/>
      <c r="N253" s="101">
        <v>200001002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2"/>
        <v>0</v>
      </c>
      <c r="I254" s="154">
        <f t="shared" si="32"/>
        <v>0</v>
      </c>
      <c r="J254" s="58"/>
      <c r="K254" s="41">
        <f t="shared" si="33"/>
        <v>0</v>
      </c>
      <c r="L254" s="90">
        <f t="shared" si="34"/>
        <v>0</v>
      </c>
      <c r="M254" s="58"/>
      <c r="N254" s="101">
        <v>500002072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2"/>
        <v>0</v>
      </c>
      <c r="I255" s="154">
        <f t="shared" si="32"/>
        <v>0</v>
      </c>
      <c r="J255" s="58"/>
      <c r="K255" s="41">
        <f t="shared" si="33"/>
        <v>0</v>
      </c>
      <c r="L255" s="90">
        <f t="shared" si="34"/>
        <v>0</v>
      </c>
      <c r="M255" s="58"/>
      <c r="N255" s="101">
        <v>200001010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2"/>
        <v>0</v>
      </c>
      <c r="I256" s="154">
        <f t="shared" si="32"/>
        <v>0</v>
      </c>
      <c r="J256" s="58"/>
      <c r="K256" s="41">
        <f t="shared" si="33"/>
        <v>0</v>
      </c>
      <c r="L256" s="90">
        <f t="shared" si="34"/>
        <v>0</v>
      </c>
      <c r="M256" s="58"/>
      <c r="N256" s="101">
        <v>500002074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2"/>
        <v>0</v>
      </c>
      <c r="I257" s="154">
        <f t="shared" si="32"/>
        <v>0</v>
      </c>
      <c r="J257" s="58"/>
      <c r="K257" s="41">
        <f t="shared" si="33"/>
        <v>0</v>
      </c>
      <c r="L257" s="90">
        <f t="shared" si="34"/>
        <v>0</v>
      </c>
      <c r="M257" s="58"/>
      <c r="N257" s="101">
        <v>200001020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2"/>
        <v>0</v>
      </c>
      <c r="I258" s="154">
        <f t="shared" si="32"/>
        <v>0</v>
      </c>
      <c r="J258" s="58"/>
      <c r="K258" s="41">
        <f t="shared" si="33"/>
        <v>0</v>
      </c>
      <c r="L258" s="90">
        <f t="shared" si="34"/>
        <v>0</v>
      </c>
      <c r="M258" s="58"/>
      <c r="N258" s="101">
        <v>500002075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2"/>
        <v>0</v>
      </c>
      <c r="I259" s="154">
        <f t="shared" si="32"/>
        <v>0</v>
      </c>
      <c r="J259" s="58"/>
      <c r="K259" s="41">
        <f t="shared" si="33"/>
        <v>0</v>
      </c>
      <c r="L259" s="90">
        <f t="shared" si="34"/>
        <v>0</v>
      </c>
      <c r="M259" s="58"/>
      <c r="N259" s="101">
        <v>200001037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2"/>
        <v>0</v>
      </c>
      <c r="I260" s="154">
        <f t="shared" si="32"/>
        <v>0</v>
      </c>
      <c r="J260" s="58"/>
      <c r="K260" s="41">
        <f t="shared" si="33"/>
        <v>0</v>
      </c>
      <c r="L260" s="90">
        <f t="shared" si="34"/>
        <v>0</v>
      </c>
      <c r="M260" s="58"/>
      <c r="N260" s="101">
        <v>500002076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2"/>
        <v>0</v>
      </c>
      <c r="I261" s="154">
        <f t="shared" si="32"/>
        <v>0</v>
      </c>
      <c r="J261" s="58"/>
      <c r="K261" s="41">
        <f t="shared" si="33"/>
        <v>0</v>
      </c>
      <c r="L261" s="90">
        <f t="shared" si="34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2"/>
        <v>0</v>
      </c>
      <c r="I262" s="154">
        <f t="shared" si="32"/>
        <v>0</v>
      </c>
      <c r="J262" s="58"/>
      <c r="K262" s="41">
        <f t="shared" si="33"/>
        <v>0</v>
      </c>
      <c r="L262" s="90">
        <f t="shared" si="34"/>
        <v>0</v>
      </c>
      <c r="M262" s="58"/>
      <c r="N262" s="101">
        <v>200001029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2"/>
        <v>0</v>
      </c>
      <c r="I263" s="154">
        <f t="shared" si="32"/>
        <v>0</v>
      </c>
      <c r="J263" s="58"/>
      <c r="K263" s="41">
        <f t="shared" si="33"/>
        <v>0</v>
      </c>
      <c r="L263" s="90">
        <f t="shared" si="34"/>
        <v>0</v>
      </c>
      <c r="M263" s="58"/>
      <c r="N263" s="101">
        <v>500002077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2"/>
        <v>0</v>
      </c>
      <c r="I264" s="154">
        <f t="shared" si="32"/>
        <v>0</v>
      </c>
      <c r="J264" s="58"/>
      <c r="K264" s="41">
        <f t="shared" si="33"/>
        <v>0</v>
      </c>
      <c r="L264" s="90">
        <f t="shared" si="34"/>
        <v>0</v>
      </c>
      <c r="M264" s="58"/>
      <c r="N264" s="101">
        <v>200001026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2"/>
        <v>0</v>
      </c>
      <c r="I265" s="154">
        <f t="shared" si="32"/>
        <v>0</v>
      </c>
      <c r="J265" s="58"/>
      <c r="K265" s="41">
        <f t="shared" si="33"/>
        <v>0</v>
      </c>
      <c r="L265" s="90">
        <f t="shared" si="34"/>
        <v>0</v>
      </c>
      <c r="M265" s="58"/>
      <c r="N265" s="101">
        <v>500002078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2"/>
        <v>0</v>
      </c>
      <c r="I266" s="154">
        <f t="shared" si="32"/>
        <v>0</v>
      </c>
      <c r="J266" s="58"/>
      <c r="K266" s="41">
        <f t="shared" si="33"/>
        <v>0</v>
      </c>
      <c r="L266" s="90">
        <f t="shared" si="34"/>
        <v>0</v>
      </c>
      <c r="M266" s="58"/>
      <c r="N266" s="101">
        <v>200000990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2"/>
        <v>0</v>
      </c>
      <c r="I267" s="154">
        <f t="shared" si="32"/>
        <v>0</v>
      </c>
      <c r="J267" s="58"/>
      <c r="K267" s="41">
        <f t="shared" si="33"/>
        <v>0</v>
      </c>
      <c r="L267" s="90">
        <f t="shared" si="34"/>
        <v>0</v>
      </c>
      <c r="M267" s="58"/>
      <c r="N267" s="101">
        <v>500002079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2"/>
        <v>0</v>
      </c>
      <c r="I268" s="154">
        <f t="shared" si="32"/>
        <v>0</v>
      </c>
      <c r="J268" s="58"/>
      <c r="K268" s="41">
        <f t="shared" si="33"/>
        <v>0</v>
      </c>
      <c r="L268" s="90">
        <f t="shared" si="34"/>
        <v>0</v>
      </c>
      <c r="M268" s="58"/>
      <c r="N268" s="101">
        <v>200001019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2"/>
        <v>0</v>
      </c>
      <c r="I269" s="154">
        <f t="shared" si="32"/>
        <v>0</v>
      </c>
      <c r="J269" s="58"/>
      <c r="K269" s="41">
        <f t="shared" si="33"/>
        <v>0</v>
      </c>
      <c r="L269" s="90">
        <f t="shared" si="34"/>
        <v>0</v>
      </c>
      <c r="M269" s="58"/>
      <c r="N269" s="101">
        <v>500002080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2"/>
        <v>0</v>
      </c>
      <c r="I270" s="154">
        <f t="shared" si="32"/>
        <v>0</v>
      </c>
      <c r="J270" s="58"/>
      <c r="K270" s="41">
        <f t="shared" si="33"/>
        <v>0</v>
      </c>
      <c r="L270" s="90">
        <f t="shared" si="34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2"/>
        <v>0</v>
      </c>
      <c r="I271" s="154">
        <f t="shared" si="32"/>
        <v>0</v>
      </c>
      <c r="J271" s="58"/>
      <c r="K271" s="41">
        <f t="shared" si="33"/>
        <v>0</v>
      </c>
      <c r="L271" s="90">
        <f t="shared" si="34"/>
        <v>0</v>
      </c>
      <c r="M271" s="58"/>
      <c r="N271" s="101">
        <v>100000187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2"/>
        <v>0</v>
      </c>
      <c r="I272" s="154">
        <f t="shared" si="32"/>
        <v>0</v>
      </c>
      <c r="J272" s="58"/>
      <c r="K272" s="41">
        <f t="shared" si="33"/>
        <v>0</v>
      </c>
      <c r="L272" s="90">
        <f t="shared" si="34"/>
        <v>0</v>
      </c>
      <c r="M272" s="58"/>
      <c r="N272" s="101">
        <v>100000188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2"/>
        <v>0</v>
      </c>
      <c r="I273" s="154">
        <f t="shared" si="32"/>
        <v>0</v>
      </c>
      <c r="J273" s="58"/>
      <c r="K273" s="41">
        <f t="shared" si="33"/>
        <v>0</v>
      </c>
      <c r="L273" s="90">
        <f t="shared" si="34"/>
        <v>0</v>
      </c>
      <c r="M273" s="58"/>
      <c r="N273" s="101">
        <v>100000189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2"/>
        <v>0</v>
      </c>
      <c r="I274" s="154">
        <f t="shared" si="32"/>
        <v>0</v>
      </c>
      <c r="J274" s="58"/>
      <c r="K274" s="41">
        <f t="shared" si="33"/>
        <v>0</v>
      </c>
      <c r="L274" s="90">
        <f t="shared" si="34"/>
        <v>0</v>
      </c>
      <c r="M274" s="58"/>
      <c r="N274" s="101">
        <v>100000820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2"/>
        <v>0</v>
      </c>
      <c r="I275" s="154">
        <f t="shared" si="32"/>
        <v>0</v>
      </c>
      <c r="J275" s="58"/>
      <c r="K275" s="41">
        <f t="shared" si="33"/>
        <v>0</v>
      </c>
      <c r="L275" s="90">
        <f t="shared" si="34"/>
        <v>0</v>
      </c>
      <c r="M275" s="58"/>
      <c r="N275" s="101">
        <v>100000821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2"/>
        <v>0</v>
      </c>
      <c r="I276" s="154">
        <f t="shared" si="32"/>
        <v>0</v>
      </c>
      <c r="J276" s="58"/>
      <c r="K276" s="41">
        <f t="shared" si="33"/>
        <v>0</v>
      </c>
      <c r="L276" s="90">
        <f t="shared" si="34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2"/>
        <v>0</v>
      </c>
      <c r="I277" s="154">
        <f t="shared" si="32"/>
        <v>0</v>
      </c>
      <c r="J277" s="58"/>
      <c r="K277" s="41">
        <f t="shared" si="33"/>
        <v>0</v>
      </c>
      <c r="L277" s="90">
        <f t="shared" si="34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2"/>
        <v>0</v>
      </c>
      <c r="I278" s="154">
        <f t="shared" si="32"/>
        <v>0</v>
      </c>
      <c r="J278" s="58"/>
      <c r="K278" s="41">
        <f t="shared" si="33"/>
        <v>0</v>
      </c>
      <c r="L278" s="90">
        <f t="shared" si="34"/>
        <v>0</v>
      </c>
      <c r="M278" s="58"/>
      <c r="N278" s="101">
        <v>200001025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2"/>
        <v>0</v>
      </c>
      <c r="I279" s="154">
        <f t="shared" si="32"/>
        <v>0</v>
      </c>
      <c r="J279" s="58"/>
      <c r="K279" s="41">
        <f t="shared" si="33"/>
        <v>0</v>
      </c>
      <c r="L279" s="90">
        <f t="shared" si="34"/>
        <v>0</v>
      </c>
      <c r="M279" s="58"/>
      <c r="N279" s="101">
        <v>200001024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2"/>
        <v>0</v>
      </c>
      <c r="I280" s="154">
        <f t="shared" si="32"/>
        <v>0</v>
      </c>
      <c r="J280" s="58"/>
      <c r="K280" s="41">
        <f t="shared" si="33"/>
        <v>0</v>
      </c>
      <c r="L280" s="90">
        <f t="shared" si="34"/>
        <v>0</v>
      </c>
      <c r="M280" s="58"/>
      <c r="N280" s="101">
        <v>200000251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5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6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41"/>
      <c r="F285" s="67"/>
      <c r="G285" s="100"/>
      <c r="H285" s="154">
        <f t="shared" si="35"/>
        <v>0</v>
      </c>
      <c r="I285" s="229">
        <f>E285*G285</f>
        <v>0</v>
      </c>
      <c r="J285" s="99"/>
      <c r="K285" s="41">
        <f t="shared" ref="K285:K287" si="37">D285+E285</f>
        <v>0</v>
      </c>
      <c r="L285" s="90">
        <f t="shared" si="36"/>
        <v>0</v>
      </c>
      <c r="M285" s="181"/>
      <c r="N285" s="101">
        <v>500002085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41"/>
      <c r="F286" s="67"/>
      <c r="G286" s="42"/>
      <c r="H286" s="154">
        <f t="shared" si="35"/>
        <v>0</v>
      </c>
      <c r="I286" s="229">
        <f>E286*G286</f>
        <v>0</v>
      </c>
      <c r="J286" s="99"/>
      <c r="K286" s="41">
        <f t="shared" si="37"/>
        <v>0</v>
      </c>
      <c r="L286" s="90">
        <f t="shared" si="36"/>
        <v>0</v>
      </c>
      <c r="M286" s="156"/>
      <c r="N286" s="101">
        <v>500002106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277">
        <f>'BoM AE'!C76</f>
        <v>10</v>
      </c>
      <c r="F287" s="100"/>
      <c r="G287" s="42"/>
      <c r="H287" s="154">
        <f t="shared" si="35"/>
        <v>0</v>
      </c>
      <c r="I287" s="229">
        <f>E287*G287</f>
        <v>0</v>
      </c>
      <c r="J287" s="99"/>
      <c r="K287" s="41">
        <f t="shared" si="37"/>
        <v>10</v>
      </c>
      <c r="L287" s="90">
        <f t="shared" si="36"/>
        <v>0</v>
      </c>
      <c r="M287" s="156"/>
      <c r="N287" s="101">
        <v>500002107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7">
        <f>'BoM AE'!C80</f>
        <v>1472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1472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>
      <c r="A292" s="38" t="s">
        <v>69</v>
      </c>
      <c r="B292" s="73" t="s">
        <v>622</v>
      </c>
      <c r="C292" s="186" t="s">
        <v>623</v>
      </c>
      <c r="D292" s="41"/>
      <c r="E292" s="277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8">
        <f>E291</f>
        <v>1472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1472</v>
      </c>
      <c r="L296" s="90">
        <f t="shared" ref="L296" si="38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7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39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39"/>
        <v>0</v>
      </c>
      <c r="I308" s="233">
        <f t="shared" si="39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39"/>
        <v>0</v>
      </c>
      <c r="I309" s="233">
        <f t="shared" si="39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39"/>
        <v>0</v>
      </c>
      <c r="I310" s="233">
        <f t="shared" si="39"/>
        <v>0</v>
      </c>
      <c r="J310" s="67"/>
      <c r="K310" s="181"/>
      <c r="L310" s="181"/>
      <c r="M310" s="181"/>
      <c r="N310" s="101">
        <v>500002110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0">D314*F314</f>
        <v>0</v>
      </c>
      <c r="I314" s="233">
        <f t="shared" si="40"/>
        <v>0</v>
      </c>
      <c r="J314" s="67"/>
      <c r="K314" s="181"/>
      <c r="L314" s="181"/>
      <c r="M314" s="181"/>
      <c r="N314" s="101">
        <v>500002111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0"/>
        <v>0</v>
      </c>
      <c r="I315" s="233">
        <f t="shared" si="40"/>
        <v>0</v>
      </c>
      <c r="J315" s="67"/>
      <c r="K315" s="181"/>
      <c r="L315" s="181"/>
      <c r="M315" s="181"/>
      <c r="N315" s="101">
        <v>500002112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0"/>
        <v>0</v>
      </c>
      <c r="I319" s="233">
        <f t="shared" si="40"/>
        <v>0</v>
      </c>
      <c r="J319" s="214"/>
      <c r="K319" s="214"/>
      <c r="L319" s="214"/>
      <c r="M319" s="214"/>
      <c r="N319" s="101">
        <v>500002086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0"/>
        <v>0</v>
      </c>
      <c r="I320" s="233">
        <f t="shared" si="40"/>
        <v>0</v>
      </c>
      <c r="J320" s="214"/>
      <c r="K320" s="214"/>
      <c r="L320" s="214"/>
      <c r="M320" s="214"/>
      <c r="N320" s="101">
        <v>500002087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>
        <f>H10+H105+H206+H242+H281+H288+H293+H297+H301+H305+H311+H316+H321</f>
        <v>0</v>
      </c>
      <c r="I323" s="219">
        <f>I10+I105+I206+I242+I281+I288+I293+I297+I301+I305+I311+I316+I321</f>
        <v>6305084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>
        <f>H323+I323</f>
        <v>6305084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>
        <f>H324/O5</f>
        <v>53432.91525423729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>
        <f>H325/14000</f>
        <v>3.8166368038740921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865</v>
      </c>
      <c r="E328" s="325" t="e" cm="1" vm="1">
        <f t="array" aca="1" ref="E328" ca="1">E6:E320</f>
        <v>#VALUE!</v>
      </c>
      <c r="N328" s="240" t="s">
        <v>670</v>
      </c>
      <c r="O328" s="284"/>
    </row>
    <row r="329" spans="1:28">
      <c r="B329" s="225"/>
    </row>
    <row r="330" spans="1:28">
      <c r="B330" s="226" t="s">
        <v>786</v>
      </c>
      <c r="E330" s="15" t="s">
        <v>867</v>
      </c>
      <c r="N330" s="12" t="s">
        <v>671</v>
      </c>
    </row>
    <row r="331" spans="1:28">
      <c r="B331" s="226" t="s">
        <v>866</v>
      </c>
      <c r="N331" s="12" t="s">
        <v>672</v>
      </c>
    </row>
    <row r="332" spans="1:28">
      <c r="B332" s="226" t="s">
        <v>776</v>
      </c>
      <c r="N332" s="12" t="s">
        <v>785</v>
      </c>
    </row>
    <row r="333" spans="1:28">
      <c r="B333" s="226" t="s">
        <v>673</v>
      </c>
      <c r="N333" s="12" t="s">
        <v>673</v>
      </c>
    </row>
    <row r="334" spans="1:28">
      <c r="A334" s="12"/>
      <c r="B334" s="326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26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26"/>
    </row>
    <row r="337" spans="2:15" ht="13.5" customHeight="1">
      <c r="B337" s="326"/>
    </row>
    <row r="338" spans="2:15">
      <c r="B338" s="226" t="s">
        <v>863</v>
      </c>
    </row>
    <row r="339" spans="2:15">
      <c r="B339" s="260"/>
      <c r="O339" s="285"/>
    </row>
  </sheetData>
  <mergeCells count="1">
    <mergeCell ref="B334:B337"/>
  </mergeCells>
  <conditionalFormatting sqref="M204">
    <cfRule type="duplicateValues" dxfId="48" priority="16"/>
  </conditionalFormatting>
  <conditionalFormatting sqref="M218:M220">
    <cfRule type="duplicateValues" dxfId="47" priority="19"/>
  </conditionalFormatting>
  <conditionalFormatting sqref="N8:N9">
    <cfRule type="duplicateValues" dxfId="46" priority="5"/>
  </conditionalFormatting>
  <conditionalFormatting sqref="N10:N11 N140 N94:N118 N91:N92 N211:N213 N142:N143 N160:N209 N133:N134 N136 N145:N158 N138 N13:N53 N221 N223:N239 N65:N66 N242:N320 N56:N63 N73:N84">
    <cfRule type="duplicateValues" dxfId="45" priority="25"/>
  </conditionalFormatting>
  <conditionalFormatting sqref="N54:N55">
    <cfRule type="duplicateValues" dxfId="44" priority="3"/>
  </conditionalFormatting>
  <conditionalFormatting sqref="N67:N72">
    <cfRule type="duplicateValues" dxfId="43" priority="2"/>
  </conditionalFormatting>
  <conditionalFormatting sqref="N83:N84">
    <cfRule type="duplicateValues" dxfId="42" priority="23"/>
    <cfRule type="duplicateValues" dxfId="41" priority="24"/>
  </conditionalFormatting>
  <conditionalFormatting sqref="N84">
    <cfRule type="duplicateValues" dxfId="40" priority="20"/>
    <cfRule type="duplicateValues" dxfId="39" priority="21"/>
    <cfRule type="duplicateValues" dxfId="38" priority="22"/>
  </conditionalFormatting>
  <conditionalFormatting sqref="N85:N89">
    <cfRule type="duplicateValues" dxfId="37" priority="10"/>
    <cfRule type="duplicateValues" dxfId="36" priority="11"/>
    <cfRule type="duplicateValues" dxfId="35" priority="12"/>
    <cfRule type="duplicateValues" dxfId="34" priority="13"/>
    <cfRule type="duplicateValues" dxfId="33" priority="14"/>
    <cfRule type="duplicateValues" dxfId="32" priority="15"/>
  </conditionalFormatting>
  <conditionalFormatting sqref="N90">
    <cfRule type="duplicateValues" dxfId="31" priority="4"/>
  </conditionalFormatting>
  <conditionalFormatting sqref="N93">
    <cfRule type="duplicateValues" dxfId="30" priority="6"/>
  </conditionalFormatting>
  <conditionalFormatting sqref="N119:N120">
    <cfRule type="duplicateValues" dxfId="29" priority="8"/>
  </conditionalFormatting>
  <conditionalFormatting sqref="N121:N132">
    <cfRule type="duplicateValues" dxfId="28" priority="7"/>
  </conditionalFormatting>
  <conditionalFormatting sqref="N215:N216">
    <cfRule type="duplicateValues" dxfId="27" priority="17"/>
  </conditionalFormatting>
  <conditionalFormatting sqref="N218">
    <cfRule type="duplicateValues" dxfId="26" priority="18"/>
  </conditionalFormatting>
  <conditionalFormatting sqref="N219:N220">
    <cfRule type="duplicateValues" dxfId="25" priority="1"/>
  </conditionalFormatting>
  <conditionalFormatting sqref="N240:N241">
    <cfRule type="duplicateValues" dxfId="24" priority="9"/>
  </conditionalFormatting>
  <pageMargins left="0.7" right="0.7" top="0.75" bottom="0.75" header="0.3" footer="0.3"/>
  <pageSetup paperSize="9" scale="3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39"/>
  <sheetViews>
    <sheetView zoomScale="73" zoomScaleNormal="73" workbookViewId="0">
      <pane ySplit="6" topLeftCell="A7" activePane="bottomLeft" state="frozen"/>
      <selection activeCell="D16" sqref="D16"/>
      <selection pane="bottomLeft" activeCell="E336" sqref="E336"/>
    </sheetView>
  </sheetViews>
  <sheetFormatPr defaultColWidth="8.85546875" defaultRowHeight="12.75"/>
  <cols>
    <col min="1" max="1" width="7.85546875" style="14" customWidth="1"/>
    <col min="2" max="2" width="65.42578125" style="12" customWidth="1"/>
    <col min="3" max="3" width="10.42578125" style="12" customWidth="1"/>
    <col min="4" max="4" width="13.85546875" style="15" customWidth="1"/>
    <col min="5" max="5" width="13.28515625" style="15" customWidth="1"/>
    <col min="6" max="6" width="15.5703125" style="12" hidden="1" customWidth="1"/>
    <col min="7" max="7" width="15.140625" style="12" hidden="1" customWidth="1"/>
    <col min="8" max="8" width="21.7109375" style="12" hidden="1" customWidth="1"/>
    <col min="9" max="9" width="21.140625" style="12" hidden="1" customWidth="1"/>
    <col min="10" max="10" width="19.7109375" style="14" hidden="1" customWidth="1"/>
    <col min="11" max="11" width="15.140625" style="16" hidden="1" customWidth="1"/>
    <col min="12" max="12" width="15" style="16" hidden="1" customWidth="1"/>
    <col min="13" max="13" width="23.85546875" style="12" hidden="1" customWidth="1"/>
    <col min="14" max="14" width="17.42578125" style="12" customWidth="1"/>
    <col min="15" max="15" width="52.42578125" style="12" customWidth="1"/>
    <col min="16" max="16" width="11.42578125" style="12" customWidth="1"/>
    <col min="17" max="17" width="11.42578125" style="17" customWidth="1"/>
    <col min="18" max="18" width="42.5703125" style="17" customWidth="1"/>
    <col min="19" max="28" width="8.85546875" style="17"/>
    <col min="29" max="16384" width="8.85546875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2" t="s">
        <v>781</v>
      </c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2" t="s">
        <v>781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777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2" t="s">
        <v>781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 t="s">
        <v>21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39" t="s">
        <v>25</v>
      </c>
      <c r="C8" s="40" t="s">
        <v>26</v>
      </c>
      <c r="D8" s="41"/>
      <c r="E8" s="277">
        <v>1</v>
      </c>
      <c r="F8" s="42"/>
      <c r="G8" s="43"/>
      <c r="H8" s="44" t="e">
        <f>#REF!*F8</f>
        <v>#REF!</v>
      </c>
      <c r="I8" s="44"/>
      <c r="J8" s="44"/>
      <c r="K8" s="41" t="e">
        <f>#REF!+D8</f>
        <v>#REF!</v>
      </c>
      <c r="L8" s="90">
        <f>F8+G8</f>
        <v>0</v>
      </c>
      <c r="M8" s="67"/>
      <c r="N8" s="91">
        <v>500003800</v>
      </c>
      <c r="O8" s="92" t="s">
        <v>27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7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 t="e">
        <f>SUM(H8:H8)</f>
        <v>#REF!</v>
      </c>
      <c r="I10" s="93">
        <f>SUM(I8:I8)</f>
        <v>0</v>
      </c>
      <c r="J10" s="94" t="e">
        <f>H10+I10</f>
        <v>#REF!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 ht="25.5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7">
        <f>E16</f>
        <v>0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0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7">
        <f>SUM('BoM AE'!J9)</f>
        <v>0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0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41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41">
        <f>SUM('BoM AE'!J10)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57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57">
        <f>SUM('BoM AE'!J11)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>
        <f>E22</f>
        <v>0</v>
      </c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>
        <f>SUM('BoM AE'!J12)</f>
        <v>0</v>
      </c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257">
        <f t="shared" ref="D23:D27" si="3">E24</f>
        <v>0</v>
      </c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257">
        <f>SUM('BoM AE'!J13)</f>
        <v>0</v>
      </c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257">
        <f t="shared" si="3"/>
        <v>0</v>
      </c>
      <c r="E25" s="41"/>
      <c r="F25" s="68"/>
      <c r="G25" s="68"/>
      <c r="H25" s="41">
        <f t="shared" ref="H25:I67" si="4">D25*F25</f>
        <v>0</v>
      </c>
      <c r="I25" s="41">
        <f t="shared" si="4"/>
        <v>0</v>
      </c>
      <c r="J25" s="41"/>
      <c r="K25" s="41">
        <f t="shared" ref="K25:K78" si="5">D25+E25</f>
        <v>0</v>
      </c>
      <c r="L25" s="41">
        <f t="shared" ref="L25:L78" si="6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257">
        <f>SUM('BoM AE'!J14)</f>
        <v>0</v>
      </c>
      <c r="F26" s="68"/>
      <c r="G26" s="68"/>
      <c r="H26" s="41">
        <f t="shared" si="4"/>
        <v>0</v>
      </c>
      <c r="I26" s="41">
        <f t="shared" si="4"/>
        <v>0</v>
      </c>
      <c r="J26" s="41"/>
      <c r="K26" s="41">
        <f t="shared" si="5"/>
        <v>0</v>
      </c>
      <c r="L26" s="41">
        <f t="shared" si="6"/>
        <v>0</v>
      </c>
      <c r="M26" s="156"/>
      <c r="N26" s="101" t="s">
        <v>62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>
        <f t="shared" si="3"/>
        <v>0</v>
      </c>
      <c r="E27" s="41"/>
      <c r="F27" s="68"/>
      <c r="G27" s="68"/>
      <c r="H27" s="41">
        <f t="shared" si="4"/>
        <v>0</v>
      </c>
      <c r="I27" s="41">
        <f t="shared" si="4"/>
        <v>0</v>
      </c>
      <c r="J27" s="41"/>
      <c r="K27" s="41">
        <f t="shared" si="5"/>
        <v>0</v>
      </c>
      <c r="L27" s="41">
        <f t="shared" si="6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 ht="12" customHeight="1">
      <c r="A28" s="38"/>
      <c r="B28" s="66" t="s">
        <v>66</v>
      </c>
      <c r="C28" s="40" t="s">
        <v>38</v>
      </c>
      <c r="D28" s="41"/>
      <c r="E28" s="41">
        <f>SUM('BoM AE'!J15)</f>
        <v>0</v>
      </c>
      <c r="F28" s="68"/>
      <c r="G28" s="68"/>
      <c r="H28" s="41">
        <f t="shared" si="4"/>
        <v>0</v>
      </c>
      <c r="I28" s="41">
        <f t="shared" si="4"/>
        <v>0</v>
      </c>
      <c r="J28" s="41"/>
      <c r="K28" s="41">
        <f t="shared" si="5"/>
        <v>0</v>
      </c>
      <c r="L28" s="41">
        <f t="shared" si="6"/>
        <v>0</v>
      </c>
      <c r="M28" s="156"/>
      <c r="N28" s="101" t="s">
        <v>67</v>
      </c>
      <c r="O28" s="102" t="s">
        <v>68</v>
      </c>
      <c r="P28" s="67" t="s">
        <v>23</v>
      </c>
      <c r="Q28" s="119" t="s">
        <v>29</v>
      </c>
      <c r="R28" s="112"/>
    </row>
    <row r="29" spans="1:18" ht="12" customHeight="1">
      <c r="A29" s="38"/>
      <c r="B29" s="295" t="s">
        <v>805</v>
      </c>
      <c r="C29" s="296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6">
        <v>200002668</v>
      </c>
      <c r="O29" s="304" t="s">
        <v>817</v>
      </c>
      <c r="P29" s="298" t="s">
        <v>28</v>
      </c>
      <c r="Q29" s="119"/>
      <c r="R29" s="112"/>
    </row>
    <row r="30" spans="1:18" ht="12" customHeight="1">
      <c r="A30" s="38"/>
      <c r="B30" s="295" t="s">
        <v>806</v>
      </c>
      <c r="C30" s="296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6">
        <v>500004722</v>
      </c>
      <c r="O30" s="304" t="s">
        <v>818</v>
      </c>
      <c r="P30" s="298" t="s">
        <v>23</v>
      </c>
      <c r="Q30" s="119"/>
      <c r="R30" s="112"/>
    </row>
    <row r="31" spans="1:18" ht="12" customHeight="1">
      <c r="A31" s="38"/>
      <c r="B31" s="295" t="s">
        <v>807</v>
      </c>
      <c r="C31" s="296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6">
        <v>200002669</v>
      </c>
      <c r="O31" s="304" t="s">
        <v>819</v>
      </c>
      <c r="P31" s="298" t="s">
        <v>28</v>
      </c>
      <c r="Q31" s="119"/>
      <c r="R31" s="112"/>
    </row>
    <row r="32" spans="1:18" ht="12" customHeight="1">
      <c r="A32" s="38"/>
      <c r="B32" s="295" t="s">
        <v>808</v>
      </c>
      <c r="C32" s="296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6">
        <v>500004723</v>
      </c>
      <c r="O32" s="304" t="s">
        <v>820</v>
      </c>
      <c r="P32" s="298" t="s">
        <v>23</v>
      </c>
      <c r="Q32" s="119"/>
      <c r="R32" s="112"/>
    </row>
    <row r="33" spans="1:18" ht="12" customHeight="1">
      <c r="A33" s="38"/>
      <c r="B33" s="295" t="s">
        <v>809</v>
      </c>
      <c r="C33" s="296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6">
        <v>200002670</v>
      </c>
      <c r="O33" s="304" t="s">
        <v>821</v>
      </c>
      <c r="P33" s="298" t="s">
        <v>28</v>
      </c>
      <c r="Q33" s="119"/>
      <c r="R33" s="112"/>
    </row>
    <row r="34" spans="1:18" ht="12" customHeight="1">
      <c r="A34" s="38"/>
      <c r="B34" s="295" t="s">
        <v>810</v>
      </c>
      <c r="C34" s="296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6">
        <v>500004724</v>
      </c>
      <c r="O34" s="304" t="s">
        <v>822</v>
      </c>
      <c r="P34" s="298" t="s">
        <v>23</v>
      </c>
      <c r="Q34" s="119"/>
      <c r="R34" s="112"/>
    </row>
    <row r="35" spans="1:18" ht="12" customHeight="1">
      <c r="A35" s="38"/>
      <c r="B35" s="295" t="s">
        <v>811</v>
      </c>
      <c r="C35" s="296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6">
        <v>200002671</v>
      </c>
      <c r="O35" s="304" t="s">
        <v>823</v>
      </c>
      <c r="P35" s="298" t="s">
        <v>28</v>
      </c>
      <c r="Q35" s="119"/>
      <c r="R35" s="112"/>
    </row>
    <row r="36" spans="1:18" ht="12" customHeight="1">
      <c r="A36" s="38"/>
      <c r="B36" s="295" t="s">
        <v>812</v>
      </c>
      <c r="C36" s="296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6">
        <v>500004725</v>
      </c>
      <c r="O36" s="304" t="s">
        <v>824</v>
      </c>
      <c r="P36" s="298" t="s">
        <v>23</v>
      </c>
      <c r="Q36" s="119"/>
      <c r="R36" s="112"/>
    </row>
    <row r="37" spans="1:18" ht="12" customHeight="1">
      <c r="A37" s="38"/>
      <c r="B37" s="297" t="s">
        <v>813</v>
      </c>
      <c r="C37" s="296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06">
        <v>200002713</v>
      </c>
      <c r="O37" s="307" t="s">
        <v>825</v>
      </c>
      <c r="P37" s="298" t="s">
        <v>28</v>
      </c>
      <c r="Q37" s="119"/>
      <c r="R37" s="112"/>
    </row>
    <row r="38" spans="1:18" ht="12" customHeight="1">
      <c r="A38" s="38"/>
      <c r="B38" s="297" t="s">
        <v>814</v>
      </c>
      <c r="C38" s="296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06">
        <v>500004777</v>
      </c>
      <c r="O38" s="307" t="s">
        <v>826</v>
      </c>
      <c r="P38" s="298" t="s">
        <v>23</v>
      </c>
      <c r="Q38" s="119"/>
      <c r="R38" s="112"/>
    </row>
    <row r="39" spans="1:18" ht="12" customHeight="1">
      <c r="A39" s="38"/>
      <c r="B39" s="297" t="s">
        <v>815</v>
      </c>
      <c r="C39" s="296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06">
        <v>200002714</v>
      </c>
      <c r="O39" s="307" t="s">
        <v>827</v>
      </c>
      <c r="P39" s="298" t="s">
        <v>28</v>
      </c>
      <c r="Q39" s="119"/>
      <c r="R39" s="112"/>
    </row>
    <row r="40" spans="1:18" ht="12" customHeight="1">
      <c r="A40" s="38"/>
      <c r="B40" s="297" t="s">
        <v>816</v>
      </c>
      <c r="C40" s="296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06">
        <v>500004778</v>
      </c>
      <c r="O40" s="307" t="s">
        <v>828</v>
      </c>
      <c r="P40" s="298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4"/>
        <v>0</v>
      </c>
      <c r="I41" s="41">
        <f t="shared" si="4"/>
        <v>0</v>
      </c>
      <c r="J41" s="41"/>
      <c r="K41" s="41">
        <f t="shared" si="5"/>
        <v>0</v>
      </c>
      <c r="L41" s="41">
        <f t="shared" si="6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/>
      <c r="E42" s="41"/>
      <c r="F42" s="69"/>
      <c r="G42" s="68"/>
      <c r="H42" s="41">
        <f t="shared" si="4"/>
        <v>0</v>
      </c>
      <c r="I42" s="41">
        <f t="shared" si="4"/>
        <v>0</v>
      </c>
      <c r="J42" s="41"/>
      <c r="K42" s="41">
        <f t="shared" si="5"/>
        <v>0</v>
      </c>
      <c r="L42" s="41">
        <f t="shared" si="6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41"/>
      <c r="F43" s="68"/>
      <c r="G43" s="69"/>
      <c r="H43" s="41"/>
      <c r="I43" s="41">
        <f t="shared" si="4"/>
        <v>0</v>
      </c>
      <c r="J43" s="41"/>
      <c r="K43" s="41">
        <f t="shared" si="5"/>
        <v>0</v>
      </c>
      <c r="L43" s="41">
        <f t="shared" si="6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/>
      <c r="E44" s="41"/>
      <c r="F44" s="69"/>
      <c r="G44" s="68"/>
      <c r="H44" s="41">
        <f t="shared" si="4"/>
        <v>0</v>
      </c>
      <c r="I44" s="41">
        <f t="shared" si="4"/>
        <v>0</v>
      </c>
      <c r="J44" s="41"/>
      <c r="K44" s="41">
        <f t="shared" si="5"/>
        <v>0</v>
      </c>
      <c r="L44" s="41">
        <f t="shared" si="6"/>
        <v>0</v>
      </c>
      <c r="M44" s="103"/>
      <c r="N44" s="101" t="s">
        <v>77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41"/>
      <c r="F45" s="68"/>
      <c r="G45" s="69"/>
      <c r="H45" s="41">
        <f t="shared" si="4"/>
        <v>0</v>
      </c>
      <c r="I45" s="41">
        <f t="shared" si="4"/>
        <v>0</v>
      </c>
      <c r="J45" s="41"/>
      <c r="K45" s="41">
        <f t="shared" si="5"/>
        <v>0</v>
      </c>
      <c r="L45" s="41">
        <f t="shared" si="6"/>
        <v>0</v>
      </c>
      <c r="M45" s="103"/>
      <c r="N45" s="101" t="s">
        <v>80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/>
      <c r="E46" s="41"/>
      <c r="F46" s="68"/>
      <c r="G46" s="68"/>
      <c r="H46" s="41">
        <f t="shared" si="4"/>
        <v>0</v>
      </c>
      <c r="I46" s="41">
        <f t="shared" si="4"/>
        <v>0</v>
      </c>
      <c r="J46" s="41"/>
      <c r="K46" s="41">
        <f t="shared" si="5"/>
        <v>0</v>
      </c>
      <c r="L46" s="41">
        <f t="shared" si="6"/>
        <v>0</v>
      </c>
      <c r="M46" s="103"/>
      <c r="N46" s="101" t="s">
        <v>83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/>
      <c r="F47" s="68"/>
      <c r="G47" s="68"/>
      <c r="H47" s="41">
        <f t="shared" si="4"/>
        <v>0</v>
      </c>
      <c r="I47" s="41">
        <f t="shared" si="4"/>
        <v>0</v>
      </c>
      <c r="J47" s="41"/>
      <c r="K47" s="41">
        <f t="shared" si="5"/>
        <v>0</v>
      </c>
      <c r="L47" s="41">
        <f t="shared" si="6"/>
        <v>0</v>
      </c>
      <c r="M47" s="103"/>
      <c r="N47" s="101" t="s">
        <v>86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/>
      <c r="E48" s="41"/>
      <c r="F48" s="68"/>
      <c r="G48" s="68"/>
      <c r="H48" s="41">
        <f t="shared" si="4"/>
        <v>0</v>
      </c>
      <c r="I48" s="41">
        <f t="shared" si="4"/>
        <v>0</v>
      </c>
      <c r="J48" s="41"/>
      <c r="K48" s="41">
        <f t="shared" si="5"/>
        <v>0</v>
      </c>
      <c r="L48" s="41">
        <f t="shared" si="6"/>
        <v>0</v>
      </c>
      <c r="M48" s="103"/>
      <c r="N48" s="101" t="s">
        <v>89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/>
      <c r="F49" s="68"/>
      <c r="G49" s="68"/>
      <c r="H49" s="41">
        <f t="shared" si="4"/>
        <v>0</v>
      </c>
      <c r="I49" s="41">
        <f t="shared" si="4"/>
        <v>0</v>
      </c>
      <c r="J49" s="41"/>
      <c r="K49" s="41">
        <f t="shared" si="5"/>
        <v>0</v>
      </c>
      <c r="L49" s="41">
        <f t="shared" si="6"/>
        <v>0</v>
      </c>
      <c r="M49" s="103"/>
      <c r="N49" s="101" t="s">
        <v>92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4"/>
        <v>0</v>
      </c>
      <c r="I50" s="41">
        <f t="shared" si="4"/>
        <v>0</v>
      </c>
      <c r="J50" s="41"/>
      <c r="K50" s="41">
        <f t="shared" si="5"/>
        <v>0</v>
      </c>
      <c r="L50" s="41">
        <f t="shared" si="6"/>
        <v>0</v>
      </c>
      <c r="M50" s="103"/>
      <c r="N50" s="101" t="s">
        <v>95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4"/>
        <v>0</v>
      </c>
      <c r="I51" s="41">
        <f t="shared" si="4"/>
        <v>0</v>
      </c>
      <c r="J51" s="41"/>
      <c r="K51" s="41">
        <f t="shared" si="5"/>
        <v>0</v>
      </c>
      <c r="L51" s="41">
        <f t="shared" si="6"/>
        <v>0</v>
      </c>
      <c r="M51" s="103"/>
      <c r="N51" s="101" t="s">
        <v>98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4"/>
        <v>0</v>
      </c>
      <c r="I52" s="41">
        <f t="shared" si="4"/>
        <v>0</v>
      </c>
      <c r="J52" s="41"/>
      <c r="K52" s="41">
        <f t="shared" si="5"/>
        <v>0</v>
      </c>
      <c r="L52" s="41">
        <f t="shared" si="6"/>
        <v>0</v>
      </c>
      <c r="M52" s="103"/>
      <c r="N52" s="101" t="s">
        <v>101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4"/>
        <v>0</v>
      </c>
      <c r="I53" s="41">
        <f t="shared" si="4"/>
        <v>0</v>
      </c>
      <c r="J53" s="41"/>
      <c r="K53" s="41">
        <f t="shared" si="5"/>
        <v>0</v>
      </c>
      <c r="L53" s="41">
        <f t="shared" si="6"/>
        <v>0</v>
      </c>
      <c r="M53" s="103"/>
      <c r="N53" s="101" t="s">
        <v>104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5" t="s">
        <v>829</v>
      </c>
      <c r="C54" s="300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6">
        <v>200002672</v>
      </c>
      <c r="O54" s="295" t="s">
        <v>831</v>
      </c>
      <c r="P54" s="301" t="s">
        <v>28</v>
      </c>
      <c r="Q54" s="119"/>
      <c r="R54" s="123"/>
    </row>
    <row r="55" spans="1:18" ht="12" customHeight="1">
      <c r="A55" s="70"/>
      <c r="B55" s="295" t="s">
        <v>830</v>
      </c>
      <c r="C55" s="300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6">
        <v>500004726</v>
      </c>
      <c r="O55" s="295" t="s">
        <v>832</v>
      </c>
      <c r="P55" s="301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4"/>
        <v>0</v>
      </c>
      <c r="I56" s="41">
        <f t="shared" si="4"/>
        <v>0</v>
      </c>
      <c r="J56" s="41"/>
      <c r="K56" s="41">
        <f t="shared" si="5"/>
        <v>0</v>
      </c>
      <c r="L56" s="41">
        <f t="shared" si="6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4"/>
        <v>0</v>
      </c>
      <c r="I57" s="41">
        <f t="shared" si="4"/>
        <v>0</v>
      </c>
      <c r="J57" s="41"/>
      <c r="K57" s="41">
        <f t="shared" si="5"/>
        <v>0</v>
      </c>
      <c r="L57" s="41">
        <f t="shared" si="6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/>
      <c r="E58" s="41"/>
      <c r="F58" s="42"/>
      <c r="G58" s="74"/>
      <c r="H58" s="41">
        <f t="shared" si="4"/>
        <v>0</v>
      </c>
      <c r="I58" s="41">
        <f t="shared" si="4"/>
        <v>0</v>
      </c>
      <c r="J58" s="41"/>
      <c r="K58" s="41">
        <f t="shared" si="5"/>
        <v>0</v>
      </c>
      <c r="L58" s="41">
        <f t="shared" si="6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4"/>
        <v>0</v>
      </c>
      <c r="I59" s="41">
        <f t="shared" si="4"/>
        <v>0</v>
      </c>
      <c r="J59" s="41"/>
      <c r="K59" s="41">
        <f t="shared" si="5"/>
        <v>0</v>
      </c>
      <c r="L59" s="41">
        <f t="shared" si="6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4"/>
        <v>0</v>
      </c>
      <c r="I60" s="41">
        <f t="shared" si="4"/>
        <v>0</v>
      </c>
      <c r="J60" s="41"/>
      <c r="K60" s="41">
        <f t="shared" si="5"/>
        <v>0</v>
      </c>
      <c r="L60" s="41">
        <f t="shared" si="6"/>
        <v>0</v>
      </c>
      <c r="M60" s="156"/>
      <c r="N60" s="101" t="s">
        <v>116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/>
      <c r="E61" s="41"/>
      <c r="F61" s="42"/>
      <c r="G61" s="74"/>
      <c r="H61" s="41">
        <f t="shared" si="4"/>
        <v>0</v>
      </c>
      <c r="I61" s="41">
        <f t="shared" si="4"/>
        <v>0</v>
      </c>
      <c r="J61" s="41"/>
      <c r="K61" s="41">
        <f t="shared" si="5"/>
        <v>0</v>
      </c>
      <c r="L61" s="41">
        <f t="shared" si="6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4"/>
        <v>0</v>
      </c>
      <c r="I62" s="41">
        <f t="shared" si="4"/>
        <v>0</v>
      </c>
      <c r="J62" s="41"/>
      <c r="K62" s="41">
        <f t="shared" si="5"/>
        <v>0</v>
      </c>
      <c r="L62" s="41">
        <f t="shared" si="6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/>
      <c r="E63" s="41"/>
      <c r="F63" s="42"/>
      <c r="G63" s="68"/>
      <c r="H63" s="41">
        <f t="shared" si="4"/>
        <v>0</v>
      </c>
      <c r="I63" s="41">
        <f t="shared" si="4"/>
        <v>0</v>
      </c>
      <c r="J63" s="41"/>
      <c r="K63" s="41">
        <f t="shared" si="5"/>
        <v>0</v>
      </c>
      <c r="L63" s="41">
        <f t="shared" si="6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124</v>
      </c>
      <c r="C64" s="40" t="s">
        <v>109</v>
      </c>
      <c r="D64" s="41"/>
      <c r="E64" s="41"/>
      <c r="F64" s="68"/>
      <c r="G64" s="42"/>
      <c r="H64" s="41">
        <f t="shared" si="4"/>
        <v>0</v>
      </c>
      <c r="I64" s="41">
        <f t="shared" si="4"/>
        <v>0</v>
      </c>
      <c r="J64" s="41"/>
      <c r="K64" s="41">
        <f t="shared" si="5"/>
        <v>0</v>
      </c>
      <c r="L64" s="41">
        <f t="shared" si="6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4"/>
        <v>0</v>
      </c>
      <c r="I65" s="41">
        <f t="shared" si="4"/>
        <v>0</v>
      </c>
      <c r="J65" s="41"/>
      <c r="K65" s="41">
        <f t="shared" si="5"/>
        <v>0</v>
      </c>
      <c r="L65" s="41">
        <f t="shared" si="6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/>
      <c r="F66" s="68"/>
      <c r="G66" s="68"/>
      <c r="H66" s="41">
        <f t="shared" si="4"/>
        <v>0</v>
      </c>
      <c r="I66" s="41">
        <f t="shared" si="4"/>
        <v>0</v>
      </c>
      <c r="J66" s="41"/>
      <c r="K66" s="41">
        <f t="shared" si="5"/>
        <v>0</v>
      </c>
      <c r="L66" s="41">
        <f t="shared" si="6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 t="s">
        <v>129</v>
      </c>
      <c r="B67" s="66" t="s">
        <v>130</v>
      </c>
      <c r="C67" s="40" t="s">
        <v>109</v>
      </c>
      <c r="D67" s="41"/>
      <c r="E67" s="41"/>
      <c r="F67" s="68"/>
      <c r="G67" s="68"/>
      <c r="H67" s="41">
        <f t="shared" si="4"/>
        <v>0</v>
      </c>
      <c r="I67" s="41">
        <f t="shared" si="4"/>
        <v>0</v>
      </c>
      <c r="J67" s="41"/>
      <c r="K67" s="41">
        <f t="shared" si="5"/>
        <v>0</v>
      </c>
      <c r="L67" s="41">
        <f t="shared" si="6"/>
        <v>0</v>
      </c>
      <c r="M67" s="143"/>
      <c r="N67" s="101">
        <v>200000165</v>
      </c>
      <c r="O67" s="102" t="s">
        <v>131</v>
      </c>
      <c r="P67" s="67" t="s">
        <v>28</v>
      </c>
      <c r="Q67" s="119"/>
      <c r="R67" s="112"/>
    </row>
    <row r="68" spans="1:18" ht="12" customHeight="1">
      <c r="A68" s="38"/>
      <c r="B68" s="295" t="s">
        <v>833</v>
      </c>
      <c r="C68" s="302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6">
        <v>500004720</v>
      </c>
      <c r="O68" s="295" t="s">
        <v>839</v>
      </c>
      <c r="P68" s="303" t="s">
        <v>23</v>
      </c>
      <c r="Q68" s="119"/>
      <c r="R68" s="112"/>
    </row>
    <row r="69" spans="1:18" ht="12" customHeight="1">
      <c r="A69" s="38"/>
      <c r="B69" s="295" t="s">
        <v>834</v>
      </c>
      <c r="C69" s="302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6">
        <v>500004721</v>
      </c>
      <c r="O69" s="295" t="s">
        <v>840</v>
      </c>
      <c r="P69" s="303" t="s">
        <v>23</v>
      </c>
      <c r="Q69" s="119"/>
      <c r="R69" s="112"/>
    </row>
    <row r="70" spans="1:18" ht="12" customHeight="1">
      <c r="A70" s="38"/>
      <c r="B70" s="295" t="s">
        <v>835</v>
      </c>
      <c r="C70" s="302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6">
        <v>200002673</v>
      </c>
      <c r="O70" s="295" t="s">
        <v>841</v>
      </c>
      <c r="P70" s="303" t="s">
        <v>28</v>
      </c>
      <c r="Q70" s="119"/>
      <c r="R70" s="112"/>
    </row>
    <row r="71" spans="1:18" ht="12" customHeight="1">
      <c r="A71" s="38"/>
      <c r="B71" s="295" t="s">
        <v>836</v>
      </c>
      <c r="C71" s="302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6">
        <v>500004727</v>
      </c>
      <c r="O71" s="295" t="s">
        <v>842</v>
      </c>
      <c r="P71" s="303" t="s">
        <v>23</v>
      </c>
      <c r="Q71" s="119"/>
      <c r="R71" s="112"/>
    </row>
    <row r="72" spans="1:18" ht="12" customHeight="1">
      <c r="A72" s="38"/>
      <c r="B72" s="295" t="s">
        <v>837</v>
      </c>
      <c r="C72" s="302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6">
        <v>200002674</v>
      </c>
      <c r="O72" s="295" t="s">
        <v>843</v>
      </c>
      <c r="P72" s="303" t="s">
        <v>28</v>
      </c>
      <c r="Q72" s="119"/>
      <c r="R72" s="112"/>
    </row>
    <row r="73" spans="1:18" ht="12" customHeight="1">
      <c r="A73" s="38"/>
      <c r="B73" s="295" t="s">
        <v>838</v>
      </c>
      <c r="C73" s="302" t="s">
        <v>109</v>
      </c>
      <c r="D73" s="41"/>
      <c r="E73" s="41"/>
      <c r="F73" s="68"/>
      <c r="G73" s="68"/>
      <c r="H73" s="41"/>
      <c r="I73" s="41"/>
      <c r="J73" s="41"/>
      <c r="K73" s="41"/>
      <c r="L73" s="41"/>
      <c r="M73" s="143"/>
      <c r="N73" s="296">
        <v>500004728</v>
      </c>
      <c r="O73" s="295" t="s">
        <v>844</v>
      </c>
      <c r="P73" s="303" t="s">
        <v>23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7">D74*F74</f>
        <v>0</v>
      </c>
      <c r="I74" s="41">
        <f t="shared" si="7"/>
        <v>0</v>
      </c>
      <c r="J74" s="41"/>
      <c r="K74" s="41">
        <f t="shared" si="5"/>
        <v>0</v>
      </c>
      <c r="L74" s="41">
        <f t="shared" si="6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7"/>
        <v>0</v>
      </c>
      <c r="I75" s="41">
        <f t="shared" si="7"/>
        <v>0</v>
      </c>
      <c r="J75" s="41"/>
      <c r="K75" s="41">
        <f t="shared" si="5"/>
        <v>0</v>
      </c>
      <c r="L75" s="41">
        <f t="shared" si="6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>
        <f>'BoM AE'!J23</f>
        <v>0</v>
      </c>
      <c r="E76" s="41"/>
      <c r="F76" s="68"/>
      <c r="G76" s="68"/>
      <c r="H76" s="41">
        <f t="shared" si="7"/>
        <v>0</v>
      </c>
      <c r="I76" s="41">
        <f t="shared" si="7"/>
        <v>0</v>
      </c>
      <c r="J76" s="41"/>
      <c r="K76" s="41">
        <f t="shared" si="5"/>
        <v>0</v>
      </c>
      <c r="L76" s="41">
        <f t="shared" si="6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>
        <f>'BoM AE'!J24</f>
        <v>0</v>
      </c>
      <c r="E77" s="41"/>
      <c r="F77" s="68"/>
      <c r="G77" s="68"/>
      <c r="H77" s="41">
        <f t="shared" si="7"/>
        <v>0</v>
      </c>
      <c r="I77" s="41">
        <f t="shared" si="7"/>
        <v>0</v>
      </c>
      <c r="J77" s="41"/>
      <c r="K77" s="41">
        <f t="shared" si="5"/>
        <v>0</v>
      </c>
      <c r="L77" s="41">
        <f t="shared" si="6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277">
        <f>'BoM AE'!J25</f>
        <v>0</v>
      </c>
      <c r="E78" s="41"/>
      <c r="F78" s="68"/>
      <c r="G78" s="68"/>
      <c r="H78" s="41">
        <f t="shared" si="7"/>
        <v>0</v>
      </c>
      <c r="I78" s="41">
        <f t="shared" si="7"/>
        <v>0</v>
      </c>
      <c r="J78" s="41"/>
      <c r="K78" s="41">
        <f t="shared" si="5"/>
        <v>0</v>
      </c>
      <c r="L78" s="41">
        <f t="shared" si="6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/>
      <c r="E79" s="41"/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/>
      <c r="E80" s="41"/>
      <c r="F80" s="68"/>
      <c r="G80" s="68"/>
      <c r="H80" s="41">
        <f t="shared" ref="H80:I85" si="8">D80*F80</f>
        <v>0</v>
      </c>
      <c r="I80" s="41">
        <f t="shared" si="8"/>
        <v>0</v>
      </c>
      <c r="J80" s="41"/>
      <c r="K80" s="41">
        <f t="shared" ref="K80:K85" si="9">D80+E80</f>
        <v>0</v>
      </c>
      <c r="L80" s="41">
        <f t="shared" ref="L80:L85" si="10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277">
        <f>'BoM AE'!J28</f>
        <v>0</v>
      </c>
      <c r="E81" s="41"/>
      <c r="F81" s="68"/>
      <c r="G81" s="68"/>
      <c r="H81" s="41">
        <f t="shared" si="8"/>
        <v>0</v>
      </c>
      <c r="I81" s="41">
        <f t="shared" si="8"/>
        <v>0</v>
      </c>
      <c r="J81" s="41"/>
      <c r="K81" s="41">
        <f t="shared" si="9"/>
        <v>0</v>
      </c>
      <c r="L81" s="41">
        <f t="shared" si="10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/>
      <c r="E82" s="41"/>
      <c r="F82" s="68"/>
      <c r="G82" s="68"/>
      <c r="H82" s="41">
        <f t="shared" si="8"/>
        <v>0</v>
      </c>
      <c r="I82" s="41">
        <f t="shared" si="8"/>
        <v>0</v>
      </c>
      <c r="J82" s="41"/>
      <c r="K82" s="41">
        <f t="shared" si="9"/>
        <v>0</v>
      </c>
      <c r="L82" s="41">
        <f t="shared" si="10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277">
        <f>'BoM AE'!J30</f>
        <v>0</v>
      </c>
      <c r="E83" s="41"/>
      <c r="F83" s="68"/>
      <c r="G83" s="68"/>
      <c r="H83" s="41">
        <f t="shared" si="8"/>
        <v>0</v>
      </c>
      <c r="I83" s="41">
        <f t="shared" si="8"/>
        <v>0</v>
      </c>
      <c r="J83" s="41"/>
      <c r="K83" s="41">
        <f t="shared" si="9"/>
        <v>0</v>
      </c>
      <c r="L83" s="41">
        <f t="shared" si="10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/>
      <c r="E84" s="41"/>
      <c r="F84" s="68"/>
      <c r="G84" s="68"/>
      <c r="H84" s="41">
        <f t="shared" si="8"/>
        <v>0</v>
      </c>
      <c r="I84" s="41">
        <f t="shared" si="8"/>
        <v>0</v>
      </c>
      <c r="J84" s="41"/>
      <c r="K84" s="41">
        <f t="shared" si="9"/>
        <v>0</v>
      </c>
      <c r="L84" s="41">
        <f t="shared" si="10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>
        <f>'BoM AE'!J32</f>
        <v>0</v>
      </c>
      <c r="E85" s="41"/>
      <c r="F85" s="68"/>
      <c r="G85" s="68"/>
      <c r="H85" s="41">
        <f t="shared" si="8"/>
        <v>0</v>
      </c>
      <c r="I85" s="41">
        <f t="shared" si="8"/>
        <v>0</v>
      </c>
      <c r="J85" s="41"/>
      <c r="K85" s="41">
        <f t="shared" si="9"/>
        <v>0</v>
      </c>
      <c r="L85" s="41">
        <f t="shared" si="10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/>
      <c r="E86" s="41"/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/>
      <c r="E87" s="41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>
        <f>'BoM AE'!J35</f>
        <v>0</v>
      </c>
      <c r="E88" s="41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/>
      <c r="E89" s="41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1">D90*F90</f>
        <v>0</v>
      </c>
      <c r="I90" s="41">
        <f t="shared" si="11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1"/>
        <v>0</v>
      </c>
      <c r="I91" s="41">
        <f t="shared" si="11"/>
        <v>0</v>
      </c>
      <c r="J91" s="41"/>
      <c r="K91" s="41">
        <f>D91+E91</f>
        <v>0</v>
      </c>
      <c r="L91" s="41">
        <f>F91+G91</f>
        <v>0</v>
      </c>
      <c r="M91" s="156"/>
      <c r="N91" s="101" t="s">
        <v>171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7">
        <f>SUM('BoM AE'!J64,'BoM AE'!J65)</f>
        <v>0</v>
      </c>
      <c r="F92" s="68"/>
      <c r="G92" s="42"/>
      <c r="H92" s="41">
        <f t="shared" si="11"/>
        <v>0</v>
      </c>
      <c r="I92" s="41">
        <f t="shared" si="11"/>
        <v>0</v>
      </c>
      <c r="J92" s="41"/>
      <c r="K92" s="41">
        <f>D92+E92</f>
        <v>0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7">
        <f>'BoM AE'!J60</f>
        <v>0</v>
      </c>
      <c r="E94" s="41"/>
      <c r="F94" s="42"/>
      <c r="G94" s="74"/>
      <c r="H94" s="41">
        <f t="shared" ref="H94:I104" si="12">D94*F94</f>
        <v>0</v>
      </c>
      <c r="I94" s="41">
        <f t="shared" si="12"/>
        <v>0</v>
      </c>
      <c r="J94" s="41"/>
      <c r="K94" s="41">
        <f t="shared" ref="K94:K104" si="13">D94+E94</f>
        <v>0</v>
      </c>
      <c r="L94" s="41">
        <f t="shared" ref="L94:L104" si="14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41"/>
      <c r="E95" s="41"/>
      <c r="F95" s="42"/>
      <c r="G95" s="74"/>
      <c r="H95" s="41">
        <f t="shared" si="12"/>
        <v>0</v>
      </c>
      <c r="I95" s="41">
        <f t="shared" si="12"/>
        <v>0</v>
      </c>
      <c r="J95" s="41"/>
      <c r="K95" s="41">
        <f t="shared" si="13"/>
        <v>0</v>
      </c>
      <c r="L95" s="41">
        <f t="shared" si="14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41"/>
      <c r="E96" s="41"/>
      <c r="F96" s="42"/>
      <c r="G96" s="74"/>
      <c r="H96" s="41">
        <f t="shared" si="12"/>
        <v>0</v>
      </c>
      <c r="I96" s="41">
        <f t="shared" si="12"/>
        <v>0</v>
      </c>
      <c r="J96" s="41"/>
      <c r="K96" s="41">
        <f t="shared" si="13"/>
        <v>0</v>
      </c>
      <c r="L96" s="41">
        <f t="shared" si="14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7">
        <f>'BoM AE'!J61</f>
        <v>0</v>
      </c>
      <c r="E97" s="41"/>
      <c r="F97" s="42"/>
      <c r="G97" s="74"/>
      <c r="H97" s="41">
        <f t="shared" si="12"/>
        <v>0</v>
      </c>
      <c r="I97" s="41">
        <f t="shared" si="12"/>
        <v>0</v>
      </c>
      <c r="J97" s="41"/>
      <c r="K97" s="41">
        <f t="shared" si="13"/>
        <v>0</v>
      </c>
      <c r="L97" s="41">
        <f t="shared" si="14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/>
      <c r="E98" s="41"/>
      <c r="F98" s="68"/>
      <c r="G98" s="68"/>
      <c r="H98" s="41">
        <f t="shared" si="12"/>
        <v>0</v>
      </c>
      <c r="I98" s="41">
        <f t="shared" si="12"/>
        <v>0</v>
      </c>
      <c r="J98" s="41"/>
      <c r="K98" s="41">
        <f t="shared" si="13"/>
        <v>0</v>
      </c>
      <c r="L98" s="41">
        <f t="shared" si="14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2"/>
        <v>0</v>
      </c>
      <c r="I99" s="41">
        <f t="shared" si="12"/>
        <v>0</v>
      </c>
      <c r="J99" s="41"/>
      <c r="K99" s="41">
        <f t="shared" si="13"/>
        <v>0</v>
      </c>
      <c r="L99" s="41">
        <f t="shared" si="14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2"/>
        <v>0</v>
      </c>
      <c r="I100" s="41">
        <f t="shared" si="12"/>
        <v>0</v>
      </c>
      <c r="J100" s="41"/>
      <c r="K100" s="41">
        <f t="shared" si="13"/>
        <v>0</v>
      </c>
      <c r="L100" s="41">
        <f t="shared" si="14"/>
        <v>0</v>
      </c>
      <c r="M100" s="156"/>
      <c r="N100" s="101" t="s">
        <v>197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2"/>
        <v>0</v>
      </c>
      <c r="I101" s="99">
        <f t="shared" si="12"/>
        <v>0</v>
      </c>
      <c r="J101" s="99"/>
      <c r="K101" s="41">
        <f t="shared" si="13"/>
        <v>0</v>
      </c>
      <c r="L101" s="41">
        <f t="shared" si="14"/>
        <v>0</v>
      </c>
      <c r="M101" s="156"/>
      <c r="N101" s="101" t="s">
        <v>200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2"/>
        <v>0</v>
      </c>
      <c r="I102" s="99">
        <f t="shared" si="12"/>
        <v>0</v>
      </c>
      <c r="J102" s="99"/>
      <c r="K102" s="41">
        <f t="shared" si="13"/>
        <v>0</v>
      </c>
      <c r="L102" s="41">
        <f t="shared" si="14"/>
        <v>0</v>
      </c>
      <c r="M102" s="156"/>
      <c r="N102" s="101" t="s">
        <v>203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2"/>
        <v>0</v>
      </c>
      <c r="I103" s="99">
        <f t="shared" si="12"/>
        <v>0</v>
      </c>
      <c r="J103" s="99"/>
      <c r="K103" s="41">
        <f t="shared" si="13"/>
        <v>0</v>
      </c>
      <c r="L103" s="90">
        <f t="shared" si="14"/>
        <v>0</v>
      </c>
      <c r="M103" s="156"/>
      <c r="N103" s="101" t="s">
        <v>206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2"/>
        <v>0</v>
      </c>
      <c r="I104" s="99">
        <f t="shared" si="12"/>
        <v>0</v>
      </c>
      <c r="J104" s="99"/>
      <c r="K104" s="41">
        <f t="shared" si="13"/>
        <v>0</v>
      </c>
      <c r="L104" s="90">
        <f t="shared" si="14"/>
        <v>0</v>
      </c>
      <c r="M104" s="156"/>
      <c r="N104" s="101" t="s">
        <v>209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5.5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5">D108+E108</f>
        <v>0</v>
      </c>
      <c r="L108" s="90">
        <f t="shared" ref="L108:L119" si="16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7">D109*F109</f>
        <v>0</v>
      </c>
      <c r="I109" s="57">
        <f t="shared" si="17"/>
        <v>0</v>
      </c>
      <c r="J109" s="57"/>
      <c r="K109" s="41">
        <f t="shared" si="15"/>
        <v>0</v>
      </c>
      <c r="L109" s="90">
        <f t="shared" si="16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7"/>
        <v>0</v>
      </c>
      <c r="I110" s="57">
        <f t="shared" si="17"/>
        <v>0</v>
      </c>
      <c r="J110" s="57"/>
      <c r="K110" s="41">
        <f t="shared" si="15"/>
        <v>0</v>
      </c>
      <c r="L110" s="90">
        <f t="shared" si="16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5.5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7"/>
        <v>0</v>
      </c>
      <c r="I111" s="57">
        <f t="shared" si="17"/>
        <v>0</v>
      </c>
      <c r="J111" s="57"/>
      <c r="K111" s="41">
        <f t="shared" si="15"/>
        <v>0</v>
      </c>
      <c r="L111" s="90">
        <f t="shared" si="16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/>
      <c r="E112" s="41"/>
      <c r="F112" s="57"/>
      <c r="G112" s="57"/>
      <c r="H112" s="57">
        <f t="shared" si="17"/>
        <v>0</v>
      </c>
      <c r="I112" s="57">
        <f t="shared" si="17"/>
        <v>0</v>
      </c>
      <c r="J112" s="57"/>
      <c r="K112" s="41">
        <f t="shared" si="15"/>
        <v>0</v>
      </c>
      <c r="L112" s="90">
        <f t="shared" si="16"/>
        <v>0</v>
      </c>
      <c r="M112" s="156"/>
      <c r="N112" s="101" t="s">
        <v>220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7"/>
        <v>0</v>
      </c>
      <c r="I113" s="57">
        <f t="shared" si="17"/>
        <v>0</v>
      </c>
      <c r="J113" s="57"/>
      <c r="K113" s="41">
        <f t="shared" si="15"/>
        <v>0</v>
      </c>
      <c r="L113" s="90">
        <f t="shared" si="16"/>
        <v>0</v>
      </c>
      <c r="M113" s="156"/>
      <c r="N113" s="101" t="s">
        <v>223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7"/>
        <v>0</v>
      </c>
      <c r="I114" s="57">
        <f t="shared" si="17"/>
        <v>0</v>
      </c>
      <c r="J114" s="57"/>
      <c r="K114" s="41">
        <f t="shared" si="15"/>
        <v>0</v>
      </c>
      <c r="L114" s="90">
        <f t="shared" si="16"/>
        <v>0</v>
      </c>
      <c r="M114" s="156"/>
      <c r="N114" s="101" t="s">
        <v>226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7"/>
        <v>0</v>
      </c>
      <c r="I115" s="57">
        <f t="shared" si="17"/>
        <v>0</v>
      </c>
      <c r="J115" s="57"/>
      <c r="K115" s="41">
        <f t="shared" si="15"/>
        <v>0</v>
      </c>
      <c r="L115" s="90">
        <f t="shared" si="16"/>
        <v>0</v>
      </c>
      <c r="M115" s="156"/>
      <c r="N115" s="101" t="s">
        <v>229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7"/>
        <v>0</v>
      </c>
      <c r="I116" s="57">
        <f t="shared" si="17"/>
        <v>0</v>
      </c>
      <c r="J116" s="57"/>
      <c r="K116" s="41">
        <f t="shared" si="15"/>
        <v>0</v>
      </c>
      <c r="L116" s="90">
        <f t="shared" si="16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7"/>
        <v>0</v>
      </c>
      <c r="I117" s="57">
        <f t="shared" si="17"/>
        <v>0</v>
      </c>
      <c r="J117" s="57"/>
      <c r="K117" s="41">
        <f t="shared" si="15"/>
        <v>0</v>
      </c>
      <c r="L117" s="90">
        <f t="shared" si="16"/>
        <v>0</v>
      </c>
      <c r="M117" s="156"/>
      <c r="N117" s="101" t="s">
        <v>234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7"/>
        <v>0</v>
      </c>
      <c r="I118" s="57">
        <f t="shared" si="17"/>
        <v>0</v>
      </c>
      <c r="J118" s="57"/>
      <c r="K118" s="41">
        <f t="shared" si="15"/>
        <v>0</v>
      </c>
      <c r="L118" s="90">
        <f t="shared" si="16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7"/>
        <v>0</v>
      </c>
      <c r="I119" s="57">
        <f t="shared" si="17"/>
        <v>0</v>
      </c>
      <c r="J119" s="57"/>
      <c r="K119" s="41">
        <f t="shared" si="15"/>
        <v>0</v>
      </c>
      <c r="L119" s="41">
        <f t="shared" si="16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5.5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8">D121*F121</f>
        <v>0</v>
      </c>
      <c r="I121" s="57">
        <f t="shared" si="18"/>
        <v>0</v>
      </c>
      <c r="J121" s="57"/>
      <c r="K121" s="41">
        <f t="shared" ref="K121:K185" si="19">D121+E121</f>
        <v>0</v>
      </c>
      <c r="L121" s="41">
        <f t="shared" ref="L121:L185" si="20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5.5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8"/>
        <v>0</v>
      </c>
      <c r="I122" s="57">
        <f t="shared" si="18"/>
        <v>0</v>
      </c>
      <c r="J122" s="57"/>
      <c r="K122" s="41">
        <f t="shared" si="19"/>
        <v>0</v>
      </c>
      <c r="L122" s="41">
        <f t="shared" si="20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 ht="25.5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8"/>
        <v>0</v>
      </c>
      <c r="I123" s="57">
        <f t="shared" si="18"/>
        <v>0</v>
      </c>
      <c r="J123" s="57"/>
      <c r="K123" s="41">
        <f t="shared" si="19"/>
        <v>0</v>
      </c>
      <c r="L123" s="41">
        <f t="shared" si="20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 ht="25.5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8"/>
        <v>0</v>
      </c>
      <c r="I124" s="57">
        <f t="shared" si="18"/>
        <v>0</v>
      </c>
      <c r="J124" s="57"/>
      <c r="K124" s="41">
        <f t="shared" si="19"/>
        <v>0</v>
      </c>
      <c r="L124" s="41">
        <f t="shared" si="20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8"/>
        <v>0</v>
      </c>
      <c r="I125" s="57">
        <f t="shared" si="18"/>
        <v>0</v>
      </c>
      <c r="J125" s="57"/>
      <c r="K125" s="41">
        <f t="shared" si="19"/>
        <v>0</v>
      </c>
      <c r="L125" s="41">
        <f t="shared" si="20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25.5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8"/>
        <v>0</v>
      </c>
      <c r="I126" s="57">
        <f t="shared" si="18"/>
        <v>0</v>
      </c>
      <c r="J126" s="57"/>
      <c r="K126" s="41">
        <f t="shared" si="19"/>
        <v>0</v>
      </c>
      <c r="L126" s="41">
        <f t="shared" si="20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8"/>
        <v>0</v>
      </c>
      <c r="I127" s="57">
        <f t="shared" si="18"/>
        <v>0</v>
      </c>
      <c r="J127" s="57"/>
      <c r="K127" s="41">
        <f t="shared" si="19"/>
        <v>0</v>
      </c>
      <c r="L127" s="41">
        <f t="shared" si="20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8"/>
        <v>0</v>
      </c>
      <c r="I128" s="57">
        <f t="shared" si="18"/>
        <v>0</v>
      </c>
      <c r="J128" s="57"/>
      <c r="K128" s="41">
        <f t="shared" si="19"/>
        <v>0</v>
      </c>
      <c r="L128" s="41">
        <f t="shared" si="20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8"/>
        <v>0</v>
      </c>
      <c r="I129" s="57">
        <f t="shared" si="18"/>
        <v>0</v>
      </c>
      <c r="J129" s="57"/>
      <c r="K129" s="41">
        <f t="shared" si="19"/>
        <v>0</v>
      </c>
      <c r="L129" s="41">
        <f t="shared" si="20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5.5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8"/>
        <v>0</v>
      </c>
      <c r="I130" s="57">
        <f t="shared" si="18"/>
        <v>0</v>
      </c>
      <c r="J130" s="57"/>
      <c r="K130" s="41">
        <f t="shared" si="19"/>
        <v>0</v>
      </c>
      <c r="L130" s="41">
        <f t="shared" si="20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38.25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8"/>
        <v>0</v>
      </c>
      <c r="I131" s="57">
        <f t="shared" si="18"/>
        <v>0</v>
      </c>
      <c r="J131" s="57"/>
      <c r="K131" s="41">
        <f t="shared" si="19"/>
        <v>0</v>
      </c>
      <c r="L131" s="41">
        <f t="shared" si="20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8"/>
        <v>0</v>
      </c>
      <c r="I132" s="57">
        <f t="shared" si="18"/>
        <v>0</v>
      </c>
      <c r="J132" s="57"/>
      <c r="K132" s="41">
        <f t="shared" si="19"/>
        <v>0</v>
      </c>
      <c r="L132" s="41">
        <f t="shared" si="20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8"/>
        <v>0</v>
      </c>
      <c r="I133" s="57">
        <f t="shared" si="18"/>
        <v>0</v>
      </c>
      <c r="J133" s="57"/>
      <c r="K133" s="41">
        <f t="shared" si="19"/>
        <v>0</v>
      </c>
      <c r="L133" s="90">
        <f t="shared" si="20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8"/>
        <v>0</v>
      </c>
      <c r="I134" s="57">
        <f t="shared" si="18"/>
        <v>0</v>
      </c>
      <c r="J134" s="57"/>
      <c r="K134" s="41">
        <f t="shared" si="19"/>
        <v>0</v>
      </c>
      <c r="L134" s="90">
        <f t="shared" si="20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/>
      <c r="F135" s="57"/>
      <c r="G135" s="57"/>
      <c r="H135" s="57">
        <f t="shared" si="18"/>
        <v>0</v>
      </c>
      <c r="I135" s="57">
        <f t="shared" si="18"/>
        <v>0</v>
      </c>
      <c r="J135" s="57"/>
      <c r="K135" s="41">
        <f t="shared" si="19"/>
        <v>0</v>
      </c>
      <c r="L135" s="90">
        <f t="shared" si="20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8"/>
        <v>0</v>
      </c>
      <c r="I136" s="57">
        <f t="shared" si="18"/>
        <v>0</v>
      </c>
      <c r="J136" s="57"/>
      <c r="K136" s="41">
        <f t="shared" si="19"/>
        <v>0</v>
      </c>
      <c r="L136" s="90">
        <f t="shared" si="20"/>
        <v>0</v>
      </c>
      <c r="M136" s="156"/>
      <c r="N136" s="101" t="s">
        <v>275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/>
      <c r="F137" s="57"/>
      <c r="G137" s="57"/>
      <c r="H137" s="57">
        <f t="shared" si="18"/>
        <v>0</v>
      </c>
      <c r="I137" s="57">
        <f t="shared" si="18"/>
        <v>0</v>
      </c>
      <c r="J137" s="57"/>
      <c r="K137" s="41">
        <f t="shared" si="19"/>
        <v>0</v>
      </c>
      <c r="L137" s="90">
        <f t="shared" si="20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257">
        <f>'BoM AE'!J71</f>
        <v>0</v>
      </c>
      <c r="E138" s="41"/>
      <c r="F138" s="57"/>
      <c r="G138" s="57"/>
      <c r="H138" s="57">
        <f t="shared" si="18"/>
        <v>0</v>
      </c>
      <c r="I138" s="57">
        <f t="shared" si="18"/>
        <v>0</v>
      </c>
      <c r="J138" s="57"/>
      <c r="K138" s="41">
        <f t="shared" si="19"/>
        <v>0</v>
      </c>
      <c r="L138" s="90">
        <f t="shared" si="20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257">
        <f>D138</f>
        <v>0</v>
      </c>
      <c r="F139" s="57"/>
      <c r="G139" s="57"/>
      <c r="H139" s="57">
        <f t="shared" si="18"/>
        <v>0</v>
      </c>
      <c r="I139" s="57">
        <f t="shared" si="18"/>
        <v>0</v>
      </c>
      <c r="J139" s="57"/>
      <c r="K139" s="41">
        <f t="shared" si="19"/>
        <v>0</v>
      </c>
      <c r="L139" s="90">
        <f t="shared" si="20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257">
        <f>'BoM AE'!J73</f>
        <v>0</v>
      </c>
      <c r="E140" s="41"/>
      <c r="F140" s="57"/>
      <c r="G140" s="57"/>
      <c r="H140" s="57">
        <f t="shared" si="18"/>
        <v>0</v>
      </c>
      <c r="I140" s="57">
        <f t="shared" si="18"/>
        <v>0</v>
      </c>
      <c r="J140" s="57"/>
      <c r="K140" s="41">
        <f t="shared" si="19"/>
        <v>0</v>
      </c>
      <c r="L140" s="90">
        <f t="shared" si="20"/>
        <v>0</v>
      </c>
      <c r="M140" s="156"/>
      <c r="N140" s="101" t="s">
        <v>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257">
        <f>D140</f>
        <v>0</v>
      </c>
      <c r="F141" s="57"/>
      <c r="G141" s="57"/>
      <c r="H141" s="57">
        <f t="shared" si="18"/>
        <v>0</v>
      </c>
      <c r="I141" s="57">
        <f t="shared" si="18"/>
        <v>0</v>
      </c>
      <c r="J141" s="57"/>
      <c r="K141" s="41">
        <f t="shared" si="19"/>
        <v>0</v>
      </c>
      <c r="L141" s="90">
        <f t="shared" si="20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8"/>
        <v>0</v>
      </c>
      <c r="I142" s="57">
        <f t="shared" si="18"/>
        <v>0</v>
      </c>
      <c r="J142" s="57"/>
      <c r="K142" s="41">
        <f t="shared" si="19"/>
        <v>0</v>
      </c>
      <c r="L142" s="90">
        <f t="shared" si="20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8"/>
        <v>0</v>
      </c>
      <c r="I143" s="57">
        <f t="shared" si="18"/>
        <v>0</v>
      </c>
      <c r="J143" s="57"/>
      <c r="K143" s="41">
        <f t="shared" si="19"/>
        <v>0</v>
      </c>
      <c r="L143" s="90">
        <f t="shared" si="20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257">
        <f>'BoM AE'!J76</f>
        <v>0</v>
      </c>
      <c r="E144" s="41"/>
      <c r="F144" s="57"/>
      <c r="G144" s="57"/>
      <c r="H144" s="57">
        <f t="shared" si="18"/>
        <v>0</v>
      </c>
      <c r="I144" s="57">
        <f t="shared" si="18"/>
        <v>0</v>
      </c>
      <c r="J144" s="57"/>
      <c r="K144" s="41">
        <f t="shared" si="19"/>
        <v>0</v>
      </c>
      <c r="L144" s="90">
        <f t="shared" si="20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257">
        <f>'BoM AE'!J77</f>
        <v>0</v>
      </c>
      <c r="E145" s="41"/>
      <c r="F145" s="57"/>
      <c r="G145" s="57"/>
      <c r="H145" s="57">
        <f t="shared" si="18"/>
        <v>0</v>
      </c>
      <c r="I145" s="57">
        <f t="shared" si="18"/>
        <v>0</v>
      </c>
      <c r="J145" s="57"/>
      <c r="K145" s="41">
        <f t="shared" si="19"/>
        <v>0</v>
      </c>
      <c r="L145" s="90">
        <f t="shared" si="20"/>
        <v>0</v>
      </c>
      <c r="M145" s="156"/>
      <c r="N145" s="101" t="s">
        <v>291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8"/>
        <v>0</v>
      </c>
      <c r="I146" s="57">
        <f t="shared" si="18"/>
        <v>0</v>
      </c>
      <c r="J146" s="57"/>
      <c r="K146" s="41">
        <f t="shared" si="19"/>
        <v>0</v>
      </c>
      <c r="L146" s="90">
        <f t="shared" si="20"/>
        <v>0</v>
      </c>
      <c r="M146" s="156"/>
      <c r="N146" s="101" t="s">
        <v>294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8"/>
        <v>0</v>
      </c>
      <c r="I147" s="57">
        <f t="shared" si="18"/>
        <v>0</v>
      </c>
      <c r="J147" s="57"/>
      <c r="K147" s="41">
        <f t="shared" si="19"/>
        <v>0</v>
      </c>
      <c r="L147" s="90">
        <f t="shared" si="20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8"/>
        <v>0</v>
      </c>
      <c r="I148" s="57">
        <f t="shared" si="18"/>
        <v>0</v>
      </c>
      <c r="J148" s="57"/>
      <c r="K148" s="41">
        <f t="shared" si="19"/>
        <v>0</v>
      </c>
      <c r="L148" s="90">
        <f t="shared" si="20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8"/>
        <v>0</v>
      </c>
      <c r="I149" s="57">
        <f t="shared" si="18"/>
        <v>0</v>
      </c>
      <c r="J149" s="57"/>
      <c r="K149" s="41">
        <f t="shared" si="19"/>
        <v>0</v>
      </c>
      <c r="L149" s="90">
        <f t="shared" si="20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8"/>
        <v>0</v>
      </c>
      <c r="I150" s="57">
        <f t="shared" si="18"/>
        <v>0</v>
      </c>
      <c r="J150" s="57"/>
      <c r="K150" s="41">
        <f t="shared" si="19"/>
        <v>0</v>
      </c>
      <c r="L150" s="90">
        <f t="shared" si="20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8"/>
        <v>0</v>
      </c>
      <c r="I151" s="57">
        <f t="shared" si="18"/>
        <v>0</v>
      </c>
      <c r="J151" s="57"/>
      <c r="K151" s="41">
        <f t="shared" si="19"/>
        <v>0</v>
      </c>
      <c r="L151" s="90">
        <f t="shared" si="20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8"/>
        <v>0</v>
      </c>
      <c r="I152" s="57">
        <f t="shared" si="18"/>
        <v>0</v>
      </c>
      <c r="J152" s="57"/>
      <c r="K152" s="41">
        <f t="shared" si="19"/>
        <v>0</v>
      </c>
      <c r="L152" s="90">
        <f t="shared" si="20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8"/>
        <v>0</v>
      </c>
      <c r="I153" s="57">
        <f t="shared" si="18"/>
        <v>0</v>
      </c>
      <c r="J153" s="57"/>
      <c r="K153" s="41">
        <f t="shared" si="19"/>
        <v>0</v>
      </c>
      <c r="L153" s="90">
        <f t="shared" si="20"/>
        <v>0</v>
      </c>
      <c r="M153" s="156"/>
      <c r="N153" s="101" t="s">
        <v>307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8"/>
        <v>0</v>
      </c>
      <c r="I154" s="57">
        <f t="shared" si="18"/>
        <v>0</v>
      </c>
      <c r="J154" s="57"/>
      <c r="K154" s="41">
        <f t="shared" si="19"/>
        <v>0</v>
      </c>
      <c r="L154" s="90">
        <f t="shared" si="20"/>
        <v>0</v>
      </c>
      <c r="M154" s="156"/>
      <c r="N154" s="101" t="s">
        <v>310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1">D155*F155</f>
        <v>0</v>
      </c>
      <c r="I155" s="57">
        <f t="shared" si="21"/>
        <v>0</v>
      </c>
      <c r="J155" s="57"/>
      <c r="K155" s="41">
        <f t="shared" si="19"/>
        <v>0</v>
      </c>
      <c r="L155" s="90">
        <f t="shared" si="20"/>
        <v>0</v>
      </c>
      <c r="M155" s="156"/>
      <c r="N155" s="101" t="s">
        <v>313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1"/>
        <v>0</v>
      </c>
      <c r="I156" s="57">
        <f t="shared" si="21"/>
        <v>0</v>
      </c>
      <c r="J156" s="57"/>
      <c r="K156" s="41">
        <f t="shared" si="19"/>
        <v>0</v>
      </c>
      <c r="L156" s="90">
        <f t="shared" si="20"/>
        <v>0</v>
      </c>
      <c r="M156" s="156"/>
      <c r="N156" s="101" t="s">
        <v>316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1"/>
        <v>0</v>
      </c>
      <c r="I157" s="57">
        <f t="shared" si="21"/>
        <v>0</v>
      </c>
      <c r="J157" s="57"/>
      <c r="K157" s="41">
        <f t="shared" si="19"/>
        <v>0</v>
      </c>
      <c r="L157" s="90">
        <f t="shared" si="20"/>
        <v>0</v>
      </c>
      <c r="M157" s="156"/>
      <c r="N157" s="101" t="s">
        <v>319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1"/>
        <v>0</v>
      </c>
      <c r="I158" s="57">
        <f t="shared" si="21"/>
        <v>0</v>
      </c>
      <c r="J158" s="57"/>
      <c r="K158" s="41">
        <f t="shared" si="19"/>
        <v>0</v>
      </c>
      <c r="L158" s="90">
        <f t="shared" si="20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1"/>
        <v>0</v>
      </c>
      <c r="I159" s="57">
        <f t="shared" si="21"/>
        <v>0</v>
      </c>
      <c r="J159" s="57"/>
      <c r="K159" s="41">
        <f t="shared" si="19"/>
        <v>0</v>
      </c>
      <c r="L159" s="90">
        <f t="shared" si="20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1"/>
        <v>0</v>
      </c>
      <c r="I160" s="57">
        <f t="shared" si="21"/>
        <v>0</v>
      </c>
      <c r="J160" s="57"/>
      <c r="K160" s="41">
        <f t="shared" si="19"/>
        <v>0</v>
      </c>
      <c r="L160" s="90">
        <f t="shared" si="20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1"/>
        <v>0</v>
      </c>
      <c r="I161" s="57">
        <f t="shared" si="21"/>
        <v>0</v>
      </c>
      <c r="J161" s="57"/>
      <c r="K161" s="41">
        <f t="shared" si="19"/>
        <v>0</v>
      </c>
      <c r="L161" s="90">
        <f t="shared" si="20"/>
        <v>0</v>
      </c>
      <c r="M161" s="156"/>
      <c r="N161" s="101" t="s">
        <v>327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41"/>
      <c r="E162" s="41"/>
      <c r="F162" s="57"/>
      <c r="G162" s="57"/>
      <c r="H162" s="57">
        <f t="shared" si="21"/>
        <v>0</v>
      </c>
      <c r="I162" s="57">
        <f t="shared" si="21"/>
        <v>0</v>
      </c>
      <c r="J162" s="57"/>
      <c r="K162" s="41">
        <f t="shared" si="19"/>
        <v>0</v>
      </c>
      <c r="L162" s="90">
        <f t="shared" si="20"/>
        <v>0</v>
      </c>
      <c r="M162" s="156"/>
      <c r="N162" s="101" t="s">
        <v>330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1"/>
        <v>0</v>
      </c>
      <c r="I163" s="57">
        <f t="shared" si="21"/>
        <v>0</v>
      </c>
      <c r="J163" s="57"/>
      <c r="K163" s="41">
        <f t="shared" si="19"/>
        <v>0</v>
      </c>
      <c r="L163" s="90">
        <f t="shared" si="20"/>
        <v>0</v>
      </c>
      <c r="M163" s="156"/>
      <c r="N163" s="101" t="s">
        <v>333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1"/>
        <v>0</v>
      </c>
      <c r="I164" s="57">
        <f t="shared" si="21"/>
        <v>0</v>
      </c>
      <c r="J164" s="57"/>
      <c r="K164" s="41">
        <f t="shared" si="19"/>
        <v>0</v>
      </c>
      <c r="L164" s="90">
        <f t="shared" si="20"/>
        <v>0</v>
      </c>
      <c r="M164" s="156"/>
      <c r="N164" s="101" t="s">
        <v>336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1"/>
        <v>0</v>
      </c>
      <c r="I165" s="57">
        <f t="shared" si="21"/>
        <v>0</v>
      </c>
      <c r="J165" s="57"/>
      <c r="K165" s="41">
        <f t="shared" si="19"/>
        <v>0</v>
      </c>
      <c r="L165" s="90">
        <f t="shared" si="20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1"/>
        <v>0</v>
      </c>
      <c r="I166" s="57">
        <f t="shared" si="21"/>
        <v>0</v>
      </c>
      <c r="J166" s="57"/>
      <c r="K166" s="41">
        <f t="shared" si="19"/>
        <v>0</v>
      </c>
      <c r="L166" s="90">
        <f t="shared" si="20"/>
        <v>0</v>
      </c>
      <c r="M166" s="156"/>
      <c r="N166" s="101" t="s">
        <v>341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1"/>
        <v>0</v>
      </c>
      <c r="I167" s="57">
        <f t="shared" si="21"/>
        <v>0</v>
      </c>
      <c r="J167" s="57"/>
      <c r="K167" s="41">
        <f t="shared" si="19"/>
        <v>0</v>
      </c>
      <c r="L167" s="90">
        <f t="shared" si="20"/>
        <v>0</v>
      </c>
      <c r="M167" s="156"/>
      <c r="N167" s="101" t="s">
        <v>344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1"/>
        <v>0</v>
      </c>
      <c r="I168" s="57">
        <f t="shared" si="21"/>
        <v>0</v>
      </c>
      <c r="J168" s="57"/>
      <c r="K168" s="41">
        <f t="shared" si="19"/>
        <v>0</v>
      </c>
      <c r="L168" s="90">
        <f t="shared" si="20"/>
        <v>0</v>
      </c>
      <c r="M168" s="156"/>
      <c r="N168" s="101" t="s">
        <v>347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1"/>
        <v>0</v>
      </c>
      <c r="I169" s="57">
        <f t="shared" si="21"/>
        <v>0</v>
      </c>
      <c r="J169" s="57"/>
      <c r="K169" s="41">
        <f t="shared" si="19"/>
        <v>0</v>
      </c>
      <c r="L169" s="90">
        <f t="shared" si="20"/>
        <v>0</v>
      </c>
      <c r="M169" s="156"/>
      <c r="N169" s="101" t="s">
        <v>350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1"/>
        <v>0</v>
      </c>
      <c r="I170" s="57">
        <f t="shared" si="21"/>
        <v>0</v>
      </c>
      <c r="J170" s="57"/>
      <c r="K170" s="41">
        <f t="shared" si="19"/>
        <v>0</v>
      </c>
      <c r="L170" s="90">
        <f t="shared" si="20"/>
        <v>0</v>
      </c>
      <c r="M170" s="156"/>
      <c r="N170" s="101" t="s">
        <v>353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1"/>
        <v>0</v>
      </c>
      <c r="I171" s="57">
        <f t="shared" si="21"/>
        <v>0</v>
      </c>
      <c r="J171" s="57"/>
      <c r="K171" s="41">
        <f t="shared" si="19"/>
        <v>0</v>
      </c>
      <c r="L171" s="90">
        <f t="shared" si="20"/>
        <v>0</v>
      </c>
      <c r="M171" s="156"/>
      <c r="N171" s="101" t="s">
        <v>356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1"/>
        <v>0</v>
      </c>
      <c r="I172" s="57">
        <f t="shared" si="21"/>
        <v>0</v>
      </c>
      <c r="J172" s="57"/>
      <c r="K172" s="41">
        <f t="shared" si="19"/>
        <v>0</v>
      </c>
      <c r="L172" s="90">
        <f t="shared" si="20"/>
        <v>0</v>
      </c>
      <c r="M172" s="156"/>
      <c r="N172" s="101" t="s">
        <v>359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1"/>
        <v>0</v>
      </c>
      <c r="I173" s="57">
        <f t="shared" si="21"/>
        <v>0</v>
      </c>
      <c r="J173" s="57"/>
      <c r="K173" s="41">
        <f t="shared" si="19"/>
        <v>0</v>
      </c>
      <c r="L173" s="90">
        <f t="shared" si="20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1"/>
        <v>0</v>
      </c>
      <c r="I174" s="57">
        <f t="shared" si="21"/>
        <v>0</v>
      </c>
      <c r="J174" s="57"/>
      <c r="K174" s="41">
        <f t="shared" si="19"/>
        <v>0</v>
      </c>
      <c r="L174" s="90">
        <f t="shared" si="20"/>
        <v>0</v>
      </c>
      <c r="M174" s="156"/>
      <c r="N174" s="101" t="s">
        <v>363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1"/>
        <v>0</v>
      </c>
      <c r="I175" s="57">
        <f t="shared" si="21"/>
        <v>0</v>
      </c>
      <c r="J175" s="57"/>
      <c r="K175" s="41">
        <f t="shared" si="19"/>
        <v>0</v>
      </c>
      <c r="L175" s="90">
        <f t="shared" si="20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1"/>
        <v>0</v>
      </c>
      <c r="I176" s="57">
        <f t="shared" si="21"/>
        <v>0</v>
      </c>
      <c r="J176" s="57"/>
      <c r="K176" s="41">
        <f t="shared" si="19"/>
        <v>0</v>
      </c>
      <c r="L176" s="90">
        <f t="shared" si="20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1"/>
        <v>0</v>
      </c>
      <c r="I177" s="57">
        <f t="shared" si="21"/>
        <v>0</v>
      </c>
      <c r="J177" s="57"/>
      <c r="K177" s="41">
        <f t="shared" si="19"/>
        <v>0</v>
      </c>
      <c r="L177" s="90">
        <f t="shared" si="20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1"/>
        <v>0</v>
      </c>
      <c r="I178" s="57">
        <f t="shared" si="21"/>
        <v>0</v>
      </c>
      <c r="J178" s="57"/>
      <c r="K178" s="41">
        <f t="shared" si="19"/>
        <v>0</v>
      </c>
      <c r="L178" s="90">
        <f t="shared" si="20"/>
        <v>0</v>
      </c>
      <c r="M178" s="156"/>
      <c r="N178" s="101" t="s">
        <v>372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1"/>
        <v>0</v>
      </c>
      <c r="I179" s="57">
        <f t="shared" si="21"/>
        <v>0</v>
      </c>
      <c r="J179" s="57"/>
      <c r="K179" s="41">
        <f t="shared" si="19"/>
        <v>0</v>
      </c>
      <c r="L179" s="90">
        <f t="shared" si="20"/>
        <v>0</v>
      </c>
      <c r="M179" s="156"/>
      <c r="N179" s="101" t="s">
        <v>375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1"/>
        <v>0</v>
      </c>
      <c r="I180" s="57">
        <f t="shared" si="21"/>
        <v>0</v>
      </c>
      <c r="J180" s="57"/>
      <c r="K180" s="41">
        <f t="shared" si="19"/>
        <v>0</v>
      </c>
      <c r="L180" s="90">
        <f t="shared" si="20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1"/>
        <v>0</v>
      </c>
      <c r="I181" s="57">
        <f t="shared" si="21"/>
        <v>0</v>
      </c>
      <c r="J181" s="57"/>
      <c r="K181" s="41">
        <f t="shared" si="19"/>
        <v>0</v>
      </c>
      <c r="L181" s="90">
        <f t="shared" si="20"/>
        <v>0</v>
      </c>
      <c r="M181" s="156"/>
      <c r="N181" s="101" t="s">
        <v>381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1"/>
        <v>0</v>
      </c>
      <c r="I182" s="57">
        <f t="shared" si="21"/>
        <v>0</v>
      </c>
      <c r="J182" s="57"/>
      <c r="K182" s="41">
        <f t="shared" si="19"/>
        <v>0</v>
      </c>
      <c r="L182" s="90">
        <f t="shared" si="20"/>
        <v>0</v>
      </c>
      <c r="M182" s="156"/>
      <c r="N182" s="101" t="s">
        <v>384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1"/>
        <v>0</v>
      </c>
      <c r="I183" s="57">
        <f t="shared" si="21"/>
        <v>0</v>
      </c>
      <c r="J183" s="57"/>
      <c r="K183" s="41">
        <f t="shared" si="19"/>
        <v>0</v>
      </c>
      <c r="L183" s="90">
        <f t="shared" si="20"/>
        <v>0</v>
      </c>
      <c r="M183" s="156"/>
      <c r="N183" s="101" t="s">
        <v>387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1"/>
        <v>0</v>
      </c>
      <c r="I184" s="57">
        <f t="shared" si="21"/>
        <v>0</v>
      </c>
      <c r="J184" s="57"/>
      <c r="K184" s="41">
        <f t="shared" si="19"/>
        <v>0</v>
      </c>
      <c r="L184" s="90">
        <f t="shared" si="20"/>
        <v>0</v>
      </c>
      <c r="M184" s="156"/>
      <c r="N184" s="101" t="s">
        <v>390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1"/>
        <v>0</v>
      </c>
      <c r="I185" s="57">
        <f t="shared" si="21"/>
        <v>0</v>
      </c>
      <c r="J185" s="57"/>
      <c r="K185" s="41">
        <f t="shared" si="19"/>
        <v>0</v>
      </c>
      <c r="L185" s="90">
        <f t="shared" si="20"/>
        <v>0</v>
      </c>
      <c r="M185" s="156"/>
      <c r="N185" s="101" t="s">
        <v>393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2">D188+E188</f>
        <v>0</v>
      </c>
      <c r="L188" s="90">
        <f t="shared" ref="L188:L205" si="23">F188+G188</f>
        <v>0</v>
      </c>
      <c r="M188" s="156"/>
      <c r="N188" s="101" t="s">
        <v>400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4">D189*F189</f>
        <v>0</v>
      </c>
      <c r="I189" s="57">
        <f t="shared" si="24"/>
        <v>0</v>
      </c>
      <c r="J189" s="57"/>
      <c r="K189" s="41">
        <f t="shared" si="22"/>
        <v>0</v>
      </c>
      <c r="L189" s="90">
        <f t="shared" si="23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4"/>
        <v>0</v>
      </c>
      <c r="I190" s="57">
        <f t="shared" si="24"/>
        <v>0</v>
      </c>
      <c r="J190" s="57"/>
      <c r="K190" s="41">
        <f t="shared" si="22"/>
        <v>0</v>
      </c>
      <c r="L190" s="90">
        <f t="shared" si="23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4"/>
        <v>0</v>
      </c>
      <c r="I191" s="57">
        <f t="shared" si="24"/>
        <v>0</v>
      </c>
      <c r="J191" s="57"/>
      <c r="K191" s="41">
        <f t="shared" si="22"/>
        <v>0</v>
      </c>
      <c r="L191" s="90">
        <f t="shared" si="23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4"/>
        <v>0</v>
      </c>
      <c r="I192" s="57">
        <f t="shared" si="24"/>
        <v>0</v>
      </c>
      <c r="J192" s="57"/>
      <c r="K192" s="41">
        <f t="shared" si="22"/>
        <v>0</v>
      </c>
      <c r="L192" s="90">
        <f t="shared" si="23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4"/>
        <v>0</v>
      </c>
      <c r="I193" s="57">
        <f t="shared" si="24"/>
        <v>0</v>
      </c>
      <c r="J193" s="57"/>
      <c r="K193" s="41">
        <f t="shared" si="22"/>
        <v>0</v>
      </c>
      <c r="L193" s="90">
        <f t="shared" si="23"/>
        <v>0</v>
      </c>
      <c r="M193" s="156"/>
      <c r="N193" s="101" t="s">
        <v>412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4"/>
        <v>0</v>
      </c>
      <c r="I194" s="57">
        <f t="shared" si="24"/>
        <v>0</v>
      </c>
      <c r="J194" s="57"/>
      <c r="K194" s="41">
        <f t="shared" si="22"/>
        <v>0</v>
      </c>
      <c r="L194" s="90">
        <f t="shared" si="23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4"/>
        <v>0</v>
      </c>
      <c r="I195" s="57">
        <f t="shared" si="24"/>
        <v>0</v>
      </c>
      <c r="J195" s="57"/>
      <c r="K195" s="41">
        <f t="shared" si="22"/>
        <v>0</v>
      </c>
      <c r="L195" s="90">
        <f t="shared" si="23"/>
        <v>0</v>
      </c>
      <c r="M195" s="156"/>
      <c r="N195" s="101" t="s">
        <v>417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4"/>
        <v>0</v>
      </c>
      <c r="I196" s="57">
        <f t="shared" si="24"/>
        <v>0</v>
      </c>
      <c r="J196" s="57"/>
      <c r="K196" s="41">
        <f t="shared" si="22"/>
        <v>0</v>
      </c>
      <c r="L196" s="90">
        <f t="shared" si="23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4"/>
        <v>0</v>
      </c>
      <c r="I197" s="57">
        <f t="shared" si="24"/>
        <v>0</v>
      </c>
      <c r="J197" s="57"/>
      <c r="K197" s="41">
        <f t="shared" si="22"/>
        <v>0</v>
      </c>
      <c r="L197" s="90">
        <f t="shared" si="23"/>
        <v>0</v>
      </c>
      <c r="M197" s="156" t="s">
        <v>423</v>
      </c>
      <c r="N197" s="38" t="s">
        <v>423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4"/>
        <v>0</v>
      </c>
      <c r="I198" s="57">
        <f t="shared" si="24"/>
        <v>0</v>
      </c>
      <c r="J198" s="57"/>
      <c r="K198" s="41">
        <f t="shared" si="22"/>
        <v>0</v>
      </c>
      <c r="L198" s="90">
        <f t="shared" si="23"/>
        <v>0</v>
      </c>
      <c r="M198" s="156" t="s">
        <v>427</v>
      </c>
      <c r="N198" s="38" t="s">
        <v>427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4"/>
        <v>0</v>
      </c>
      <c r="I199" s="57">
        <f t="shared" si="24"/>
        <v>0</v>
      </c>
      <c r="J199" s="57"/>
      <c r="K199" s="41">
        <f t="shared" si="22"/>
        <v>0</v>
      </c>
      <c r="L199" s="90">
        <f t="shared" si="23"/>
        <v>0</v>
      </c>
      <c r="M199" s="156" t="s">
        <v>430</v>
      </c>
      <c r="N199" s="38" t="s">
        <v>430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4"/>
        <v>0</v>
      </c>
      <c r="I200" s="57">
        <f t="shared" si="24"/>
        <v>0</v>
      </c>
      <c r="J200" s="57"/>
      <c r="K200" s="41">
        <f t="shared" si="22"/>
        <v>0</v>
      </c>
      <c r="L200" s="90">
        <f t="shared" si="23"/>
        <v>0</v>
      </c>
      <c r="M200" s="156" t="s">
        <v>434</v>
      </c>
      <c r="N200" s="38" t="s">
        <v>434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4"/>
        <v>0</v>
      </c>
      <c r="I201" s="57">
        <f t="shared" si="24"/>
        <v>0</v>
      </c>
      <c r="J201" s="57"/>
      <c r="K201" s="41">
        <f t="shared" si="22"/>
        <v>0</v>
      </c>
      <c r="L201" s="90">
        <f t="shared" si="23"/>
        <v>0</v>
      </c>
      <c r="M201" s="156" t="s">
        <v>436</v>
      </c>
      <c r="N201" s="38" t="s">
        <v>436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4"/>
        <v>0</v>
      </c>
      <c r="I202" s="57">
        <f t="shared" si="24"/>
        <v>0</v>
      </c>
      <c r="J202" s="57"/>
      <c r="K202" s="41">
        <f t="shared" si="22"/>
        <v>0</v>
      </c>
      <c r="L202" s="90">
        <f t="shared" si="23"/>
        <v>0</v>
      </c>
      <c r="M202" s="156" t="s">
        <v>439</v>
      </c>
      <c r="N202" s="38" t="s">
        <v>439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4"/>
        <v>0</v>
      </c>
      <c r="I203" s="57">
        <f t="shared" si="24"/>
        <v>0</v>
      </c>
      <c r="J203" s="57"/>
      <c r="K203" s="41">
        <f t="shared" si="22"/>
        <v>0</v>
      </c>
      <c r="L203" s="90">
        <f t="shared" si="23"/>
        <v>0</v>
      </c>
      <c r="M203" s="156" t="s">
        <v>442</v>
      </c>
      <c r="N203" s="38" t="s">
        <v>442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41">
        <v>0</v>
      </c>
      <c r="F204" s="258"/>
      <c r="G204" s="259"/>
      <c r="H204" s="258">
        <f t="shared" si="24"/>
        <v>0</v>
      </c>
      <c r="I204" s="258">
        <f t="shared" si="24"/>
        <v>0</v>
      </c>
      <c r="J204" s="258"/>
      <c r="K204" s="41">
        <f t="shared" si="22"/>
        <v>0</v>
      </c>
      <c r="L204" s="90">
        <f t="shared" si="23"/>
        <v>0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4"/>
        <v>0</v>
      </c>
      <c r="I205" s="57">
        <f t="shared" si="24"/>
        <v>0</v>
      </c>
      <c r="J205" s="57"/>
      <c r="K205" s="41">
        <f t="shared" si="22"/>
        <v>0</v>
      </c>
      <c r="L205" s="90">
        <f t="shared" si="23"/>
        <v>0</v>
      </c>
      <c r="M205" s="156" t="s">
        <v>447</v>
      </c>
      <c r="N205" s="38" t="s">
        <v>447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0</v>
      </c>
      <c r="J206" s="51">
        <f>H206+I206</f>
        <v>0</v>
      </c>
      <c r="K206" s="51"/>
      <c r="L206" s="51"/>
      <c r="M206" s="51">
        <f>I206</f>
        <v>0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5">D210+E210</f>
        <v>0</v>
      </c>
      <c r="L210" s="90">
        <f t="shared" ref="L210:L231" si="26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7">D211*F211</f>
        <v>0</v>
      </c>
      <c r="I211" s="154">
        <f t="shared" si="27"/>
        <v>0</v>
      </c>
      <c r="J211" s="159"/>
      <c r="K211" s="90">
        <f t="shared" si="25"/>
        <v>0</v>
      </c>
      <c r="L211" s="90">
        <f t="shared" si="26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7"/>
        <v>0</v>
      </c>
      <c r="I212" s="154">
        <f t="shared" si="27"/>
        <v>0</v>
      </c>
      <c r="J212" s="159"/>
      <c r="K212" s="90">
        <f t="shared" si="25"/>
        <v>0</v>
      </c>
      <c r="L212" s="90">
        <f t="shared" si="26"/>
        <v>0</v>
      </c>
      <c r="M212" s="156"/>
      <c r="N212" s="101" t="s">
        <v>457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8">
        <f>'BoM AE'!J49</f>
        <v>0</v>
      </c>
      <c r="E213" s="90"/>
      <c r="F213" s="68"/>
      <c r="G213" s="68"/>
      <c r="H213" s="154">
        <f t="shared" si="27"/>
        <v>0</v>
      </c>
      <c r="I213" s="154">
        <f t="shared" si="27"/>
        <v>0</v>
      </c>
      <c r="J213" s="159"/>
      <c r="K213" s="90">
        <f t="shared" si="25"/>
        <v>0</v>
      </c>
      <c r="L213" s="90">
        <f t="shared" si="26"/>
        <v>0</v>
      </c>
      <c r="M213" s="66"/>
      <c r="N213" s="276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8">
        <f>D213</f>
        <v>0</v>
      </c>
      <c r="F214" s="68"/>
      <c r="G214" s="68"/>
      <c r="H214" s="154">
        <f t="shared" si="27"/>
        <v>0</v>
      </c>
      <c r="I214" s="154">
        <f t="shared" si="27"/>
        <v>0</v>
      </c>
      <c r="J214" s="159"/>
      <c r="K214" s="90">
        <f t="shared" si="25"/>
        <v>0</v>
      </c>
      <c r="L214" s="90">
        <f t="shared" si="26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8">
        <f>'BoM AE'!J53</f>
        <v>0</v>
      </c>
      <c r="E215" s="90"/>
      <c r="F215" s="42"/>
      <c r="G215" s="68"/>
      <c r="H215" s="154">
        <f t="shared" si="27"/>
        <v>0</v>
      </c>
      <c r="I215" s="154">
        <f t="shared" si="27"/>
        <v>0</v>
      </c>
      <c r="J215" s="159"/>
      <c r="K215" s="90">
        <f t="shared" si="25"/>
        <v>0</v>
      </c>
      <c r="L215" s="90">
        <f t="shared" si="26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8">
        <f>D215</f>
        <v>0</v>
      </c>
      <c r="F216" s="68"/>
      <c r="G216" s="42"/>
      <c r="H216" s="154">
        <f t="shared" si="27"/>
        <v>0</v>
      </c>
      <c r="I216" s="154">
        <f t="shared" si="27"/>
        <v>0</v>
      </c>
      <c r="J216" s="159"/>
      <c r="K216" s="90">
        <f t="shared" si="25"/>
        <v>0</v>
      </c>
      <c r="L216" s="90">
        <f t="shared" si="26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8">
        <f>'BoM AE'!J50</f>
        <v>0</v>
      </c>
      <c r="E217" s="90"/>
      <c r="F217" s="42"/>
      <c r="G217" s="68"/>
      <c r="H217" s="154">
        <f t="shared" si="27"/>
        <v>0</v>
      </c>
      <c r="I217" s="154">
        <f t="shared" si="27"/>
        <v>0</v>
      </c>
      <c r="J217" s="159"/>
      <c r="K217" s="90">
        <f t="shared" si="25"/>
        <v>0</v>
      </c>
      <c r="L217" s="90">
        <f t="shared" si="26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8">
        <f>D217</f>
        <v>0</v>
      </c>
      <c r="F218" s="68"/>
      <c r="G218" s="42"/>
      <c r="H218" s="154">
        <f t="shared" si="27"/>
        <v>0</v>
      </c>
      <c r="I218" s="154">
        <f t="shared" si="27"/>
        <v>0</v>
      </c>
      <c r="J218" s="159"/>
      <c r="K218" s="90">
        <f t="shared" si="25"/>
        <v>0</v>
      </c>
      <c r="L218" s="90">
        <f t="shared" si="26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5" t="s">
        <v>845</v>
      </c>
      <c r="C219" s="296" t="s">
        <v>109</v>
      </c>
      <c r="D219" s="278">
        <f>'BoM AE'!J51</f>
        <v>0</v>
      </c>
      <c r="E219" s="90"/>
      <c r="F219" s="68"/>
      <c r="G219" s="42"/>
      <c r="H219" s="154"/>
      <c r="I219" s="154"/>
      <c r="J219" s="159"/>
      <c r="K219" s="90"/>
      <c r="L219" s="90"/>
      <c r="M219" s="105"/>
      <c r="N219" s="296">
        <v>200002675</v>
      </c>
      <c r="O219" s="304" t="s">
        <v>847</v>
      </c>
      <c r="P219" s="301" t="s">
        <v>28</v>
      </c>
      <c r="Q219" s="119"/>
      <c r="R219" s="112"/>
    </row>
    <row r="220" spans="1:28">
      <c r="A220" s="75"/>
      <c r="B220" s="295" t="s">
        <v>846</v>
      </c>
      <c r="C220" s="296" t="s">
        <v>109</v>
      </c>
      <c r="D220" s="90"/>
      <c r="E220" s="278">
        <f>D219</f>
        <v>0</v>
      </c>
      <c r="F220" s="68"/>
      <c r="G220" s="42"/>
      <c r="H220" s="154"/>
      <c r="I220" s="154"/>
      <c r="J220" s="159"/>
      <c r="K220" s="90"/>
      <c r="L220" s="90"/>
      <c r="M220" s="105"/>
      <c r="N220" s="296">
        <v>500004729</v>
      </c>
      <c r="O220" s="304" t="s">
        <v>848</v>
      </c>
      <c r="P220" s="301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7"/>
        <v>0</v>
      </c>
      <c r="I221" s="154">
        <f t="shared" si="27"/>
        <v>0</v>
      </c>
      <c r="J221" s="159"/>
      <c r="K221" s="90">
        <f t="shared" si="25"/>
        <v>0</v>
      </c>
      <c r="L221" s="90">
        <f t="shared" si="26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7"/>
        <v>0</v>
      </c>
      <c r="I222" s="154">
        <f t="shared" si="27"/>
        <v>0</v>
      </c>
      <c r="J222" s="159"/>
      <c r="K222" s="90">
        <f t="shared" si="25"/>
        <v>0</v>
      </c>
      <c r="L222" s="90">
        <f t="shared" si="26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7"/>
        <v>0</v>
      </c>
      <c r="I223" s="154">
        <f t="shared" si="27"/>
        <v>0</v>
      </c>
      <c r="J223" s="159"/>
      <c r="K223" s="90">
        <f t="shared" si="25"/>
        <v>0</v>
      </c>
      <c r="L223" s="90">
        <f t="shared" si="26"/>
        <v>0</v>
      </c>
      <c r="M223" s="156"/>
      <c r="N223" s="101" t="s">
        <v>469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7"/>
        <v>0</v>
      </c>
      <c r="I224" s="154">
        <f t="shared" si="27"/>
        <v>0</v>
      </c>
      <c r="J224" s="159"/>
      <c r="K224" s="90">
        <f t="shared" si="25"/>
        <v>0</v>
      </c>
      <c r="L224" s="90">
        <f t="shared" si="26"/>
        <v>0</v>
      </c>
      <c r="M224" s="156"/>
      <c r="N224" s="101" t="s">
        <v>472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8">
        <f>'BoM AE'!J37</f>
        <v>0</v>
      </c>
      <c r="E225" s="90">
        <f>D225</f>
        <v>0</v>
      </c>
      <c r="F225" s="42"/>
      <c r="G225" s="74"/>
      <c r="H225" s="154">
        <f t="shared" si="27"/>
        <v>0</v>
      </c>
      <c r="I225" s="154">
        <f t="shared" si="27"/>
        <v>0</v>
      </c>
      <c r="J225" s="159"/>
      <c r="K225" s="90">
        <f t="shared" si="25"/>
        <v>0</v>
      </c>
      <c r="L225" s="90">
        <f t="shared" si="26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90"/>
      <c r="E226" s="90"/>
      <c r="F226" s="74"/>
      <c r="G226" s="42"/>
      <c r="H226" s="154">
        <f t="shared" si="27"/>
        <v>0</v>
      </c>
      <c r="I226" s="154">
        <f t="shared" si="27"/>
        <v>0</v>
      </c>
      <c r="J226" s="159"/>
      <c r="K226" s="90">
        <f t="shared" si="25"/>
        <v>0</v>
      </c>
      <c r="L226" s="90">
        <f t="shared" si="26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7"/>
        <v>0</v>
      </c>
      <c r="I227" s="154">
        <f t="shared" si="27"/>
        <v>0</v>
      </c>
      <c r="J227" s="159"/>
      <c r="K227" s="90">
        <f t="shared" si="25"/>
        <v>0</v>
      </c>
      <c r="L227" s="90">
        <f t="shared" si="26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8">
        <f>'BoM AE'!J38</f>
        <v>0</v>
      </c>
      <c r="E228" s="90">
        <f>D228</f>
        <v>0</v>
      </c>
      <c r="F228" s="42"/>
      <c r="G228" s="74"/>
      <c r="H228" s="154">
        <f t="shared" si="27"/>
        <v>0</v>
      </c>
      <c r="I228" s="154">
        <f t="shared" si="27"/>
        <v>0</v>
      </c>
      <c r="J228" s="159"/>
      <c r="K228" s="90">
        <f t="shared" si="25"/>
        <v>0</v>
      </c>
      <c r="L228" s="90">
        <f t="shared" si="26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8">
        <f>'BoM AE'!J39</f>
        <v>0</v>
      </c>
      <c r="E229" s="90">
        <f t="shared" ref="E229:E241" si="28">D229</f>
        <v>0</v>
      </c>
      <c r="F229" s="42"/>
      <c r="G229" s="74"/>
      <c r="H229" s="154">
        <f t="shared" si="27"/>
        <v>0</v>
      </c>
      <c r="I229" s="154">
        <f t="shared" si="27"/>
        <v>0</v>
      </c>
      <c r="J229" s="159"/>
      <c r="K229" s="90">
        <f t="shared" si="25"/>
        <v>0</v>
      </c>
      <c r="L229" s="90">
        <f t="shared" si="26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/>
      <c r="F230" s="162"/>
      <c r="G230" s="74"/>
      <c r="H230" s="154">
        <f t="shared" si="27"/>
        <v>0</v>
      </c>
      <c r="I230" s="154">
        <f t="shared" si="27"/>
        <v>0</v>
      </c>
      <c r="J230" s="159"/>
      <c r="K230" s="90">
        <f t="shared" si="25"/>
        <v>0</v>
      </c>
      <c r="L230" s="90">
        <f t="shared" si="26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8">
        <f>'BoM AE'!J40</f>
        <v>0</v>
      </c>
      <c r="E231" s="90">
        <f t="shared" si="28"/>
        <v>0</v>
      </c>
      <c r="F231" s="42"/>
      <c r="G231" s="74"/>
      <c r="H231" s="154">
        <f t="shared" si="27"/>
        <v>0</v>
      </c>
      <c r="I231" s="154">
        <f t="shared" si="27"/>
        <v>0</v>
      </c>
      <c r="J231" s="159"/>
      <c r="K231" s="90">
        <f t="shared" si="25"/>
        <v>0</v>
      </c>
      <c r="L231" s="90">
        <f t="shared" si="26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AE'!J43</f>
        <v>0</v>
      </c>
      <c r="E232" s="90">
        <f t="shared" si="28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/>
      <c r="F233" s="162"/>
      <c r="G233" s="74"/>
      <c r="H233" s="154">
        <f t="shared" ref="H233:I240" si="29">D233*F233</f>
        <v>0</v>
      </c>
      <c r="I233" s="154">
        <f t="shared" si="29"/>
        <v>0</v>
      </c>
      <c r="J233" s="159"/>
      <c r="K233" s="90">
        <f t="shared" ref="K233:K241" si="30">D233+E233</f>
        <v>0</v>
      </c>
      <c r="L233" s="90">
        <f t="shared" ref="L233:L241" si="31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/>
      <c r="E234" s="90"/>
      <c r="F234" s="162"/>
      <c r="G234" s="74"/>
      <c r="H234" s="154">
        <f t="shared" si="29"/>
        <v>0</v>
      </c>
      <c r="I234" s="154">
        <f t="shared" si="29"/>
        <v>0</v>
      </c>
      <c r="J234" s="159"/>
      <c r="K234" s="90">
        <f t="shared" si="30"/>
        <v>0</v>
      </c>
      <c r="L234" s="90">
        <f t="shared" si="31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8">
        <f>'BoM AE'!J45</f>
        <v>0</v>
      </c>
      <c r="E235" s="90">
        <f t="shared" si="28"/>
        <v>0</v>
      </c>
      <c r="F235" s="162"/>
      <c r="G235" s="74"/>
      <c r="H235" s="154">
        <f t="shared" si="29"/>
        <v>0</v>
      </c>
      <c r="I235" s="154">
        <f t="shared" si="29"/>
        <v>0</v>
      </c>
      <c r="J235" s="159"/>
      <c r="K235" s="90">
        <f t="shared" si="30"/>
        <v>0</v>
      </c>
      <c r="L235" s="90">
        <f t="shared" si="31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8">
        <f>'BoM AE'!J44</f>
        <v>0</v>
      </c>
      <c r="E236" s="90">
        <f t="shared" si="28"/>
        <v>0</v>
      </c>
      <c r="F236" s="42"/>
      <c r="G236" s="74"/>
      <c r="H236" s="154">
        <f t="shared" si="29"/>
        <v>0</v>
      </c>
      <c r="I236" s="154">
        <f t="shared" si="29"/>
        <v>0</v>
      </c>
      <c r="J236" s="159"/>
      <c r="K236" s="90">
        <f t="shared" si="30"/>
        <v>0</v>
      </c>
      <c r="L236" s="90">
        <f t="shared" si="31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/>
      <c r="F237" s="162"/>
      <c r="G237" s="74"/>
      <c r="H237" s="154">
        <f t="shared" si="29"/>
        <v>0</v>
      </c>
      <c r="I237" s="154">
        <f t="shared" si="29"/>
        <v>0</v>
      </c>
      <c r="J237" s="159"/>
      <c r="K237" s="90">
        <f t="shared" si="30"/>
        <v>0</v>
      </c>
      <c r="L237" s="90">
        <f t="shared" si="31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8">
        <f>'BoM AE'!J41</f>
        <v>0</v>
      </c>
      <c r="E238" s="90">
        <f t="shared" si="28"/>
        <v>0</v>
      </c>
      <c r="F238" s="42"/>
      <c r="G238" s="74"/>
      <c r="H238" s="154">
        <f t="shared" si="29"/>
        <v>0</v>
      </c>
      <c r="I238" s="154">
        <f t="shared" si="29"/>
        <v>0</v>
      </c>
      <c r="J238" s="159"/>
      <c r="K238" s="90">
        <f t="shared" si="30"/>
        <v>0</v>
      </c>
      <c r="L238" s="90">
        <f t="shared" si="31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8">
        <f>'BoM AE'!J42</f>
        <v>0</v>
      </c>
      <c r="E239" s="90">
        <f t="shared" si="28"/>
        <v>0</v>
      </c>
      <c r="F239" s="42"/>
      <c r="G239" s="74"/>
      <c r="H239" s="154">
        <f t="shared" si="29"/>
        <v>0</v>
      </c>
      <c r="I239" s="154">
        <f t="shared" si="29"/>
        <v>0</v>
      </c>
      <c r="J239" s="159"/>
      <c r="K239" s="90">
        <f t="shared" si="30"/>
        <v>0</v>
      </c>
      <c r="L239" s="90">
        <f t="shared" si="31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AE'!J46</f>
        <v>0</v>
      </c>
      <c r="E240" s="90">
        <f t="shared" si="28"/>
        <v>0</v>
      </c>
      <c r="F240" s="42"/>
      <c r="G240" s="74"/>
      <c r="H240" s="154">
        <f t="shared" si="29"/>
        <v>0</v>
      </c>
      <c r="I240" s="154">
        <f t="shared" si="29"/>
        <v>0</v>
      </c>
      <c r="J240" s="159"/>
      <c r="K240" s="90">
        <f t="shared" si="30"/>
        <v>0</v>
      </c>
      <c r="L240" s="90">
        <f t="shared" si="31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5">
      <c r="A241" s="160"/>
      <c r="B241" s="5" t="s">
        <v>504</v>
      </c>
      <c r="C241" s="148" t="s">
        <v>167</v>
      </c>
      <c r="D241" s="90">
        <f>'BoM AE'!J47</f>
        <v>0</v>
      </c>
      <c r="E241" s="90">
        <f t="shared" si="28"/>
        <v>0</v>
      </c>
      <c r="F241" s="42"/>
      <c r="G241" s="74"/>
      <c r="H241" s="154"/>
      <c r="I241" s="154"/>
      <c r="J241" s="159"/>
      <c r="K241" s="90">
        <f t="shared" si="30"/>
        <v>0</v>
      </c>
      <c r="L241" s="90">
        <f t="shared" si="31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2">D245*F245</f>
        <v>0</v>
      </c>
      <c r="I245" s="154">
        <f t="shared" si="32"/>
        <v>0</v>
      </c>
      <c r="J245" s="58"/>
      <c r="K245" s="41">
        <f t="shared" ref="K245:K280" si="33">D245+E245</f>
        <v>0</v>
      </c>
      <c r="L245" s="90">
        <f t="shared" ref="L245:L280" si="34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2"/>
        <v>0</v>
      </c>
      <c r="I246" s="154">
        <f t="shared" si="32"/>
        <v>0</v>
      </c>
      <c r="J246" s="58"/>
      <c r="K246" s="41">
        <f t="shared" si="33"/>
        <v>0</v>
      </c>
      <c r="L246" s="90">
        <f t="shared" si="34"/>
        <v>0</v>
      </c>
      <c r="M246" s="58"/>
      <c r="N246" s="101" t="s">
        <v>510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2"/>
        <v>0</v>
      </c>
      <c r="I247" s="154">
        <f t="shared" si="32"/>
        <v>0</v>
      </c>
      <c r="J247" s="58"/>
      <c r="K247" s="41">
        <f t="shared" si="33"/>
        <v>0</v>
      </c>
      <c r="L247" s="90">
        <f t="shared" si="34"/>
        <v>0</v>
      </c>
      <c r="M247" s="58"/>
      <c r="N247" s="101" t="s">
        <v>513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2"/>
        <v>0</v>
      </c>
      <c r="I248" s="154">
        <f t="shared" si="32"/>
        <v>0</v>
      </c>
      <c r="J248" s="58"/>
      <c r="K248" s="41">
        <f t="shared" si="33"/>
        <v>0</v>
      </c>
      <c r="L248" s="90">
        <f t="shared" si="34"/>
        <v>0</v>
      </c>
      <c r="M248" s="58"/>
      <c r="N248" s="101" t="s">
        <v>516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2"/>
        <v>0</v>
      </c>
      <c r="I249" s="154">
        <f t="shared" si="32"/>
        <v>0</v>
      </c>
      <c r="J249" s="58"/>
      <c r="K249" s="41">
        <f t="shared" si="33"/>
        <v>0</v>
      </c>
      <c r="L249" s="90">
        <f t="shared" si="34"/>
        <v>0</v>
      </c>
      <c r="M249" s="58"/>
      <c r="N249" s="101" t="s">
        <v>519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2"/>
        <v>0</v>
      </c>
      <c r="I250" s="154">
        <f t="shared" si="32"/>
        <v>0</v>
      </c>
      <c r="J250" s="58"/>
      <c r="K250" s="41">
        <f t="shared" si="33"/>
        <v>0</v>
      </c>
      <c r="L250" s="90">
        <f t="shared" si="34"/>
        <v>0</v>
      </c>
      <c r="M250" s="58"/>
      <c r="N250" s="101" t="s">
        <v>522</v>
      </c>
      <c r="O250" s="102" t="s">
        <v>523</v>
      </c>
      <c r="P250" s="67" t="s">
        <v>28</v>
      </c>
      <c r="Q250" s="119"/>
      <c r="R250" s="121"/>
    </row>
    <row r="251" spans="1:28" ht="25.5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2"/>
        <v>0</v>
      </c>
      <c r="I251" s="154">
        <f t="shared" si="32"/>
        <v>0</v>
      </c>
      <c r="J251" s="58"/>
      <c r="K251" s="41">
        <f t="shared" si="33"/>
        <v>0</v>
      </c>
      <c r="L251" s="90">
        <f t="shared" si="34"/>
        <v>0</v>
      </c>
      <c r="M251" s="58"/>
      <c r="N251" s="101" t="s">
        <v>525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2"/>
        <v>0</v>
      </c>
      <c r="I252" s="154">
        <f t="shared" si="32"/>
        <v>0</v>
      </c>
      <c r="J252" s="58"/>
      <c r="K252" s="41">
        <f t="shared" si="33"/>
        <v>0</v>
      </c>
      <c r="L252" s="90">
        <f t="shared" si="34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2"/>
        <v>0</v>
      </c>
      <c r="I253" s="154">
        <f t="shared" si="32"/>
        <v>0</v>
      </c>
      <c r="J253" s="58"/>
      <c r="K253" s="41">
        <f t="shared" si="33"/>
        <v>0</v>
      </c>
      <c r="L253" s="90">
        <f t="shared" si="34"/>
        <v>0</v>
      </c>
      <c r="M253" s="58"/>
      <c r="N253" s="101" t="s">
        <v>529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2"/>
        <v>0</v>
      </c>
      <c r="I254" s="154">
        <f t="shared" si="32"/>
        <v>0</v>
      </c>
      <c r="J254" s="58"/>
      <c r="K254" s="41">
        <f t="shared" si="33"/>
        <v>0</v>
      </c>
      <c r="L254" s="90">
        <f t="shared" si="34"/>
        <v>0</v>
      </c>
      <c r="M254" s="58"/>
      <c r="N254" s="101" t="s">
        <v>532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2"/>
        <v>0</v>
      </c>
      <c r="I255" s="154">
        <f t="shared" si="32"/>
        <v>0</v>
      </c>
      <c r="J255" s="58"/>
      <c r="K255" s="41">
        <f t="shared" si="33"/>
        <v>0</v>
      </c>
      <c r="L255" s="90">
        <f t="shared" si="34"/>
        <v>0</v>
      </c>
      <c r="M255" s="58"/>
      <c r="N255" s="101" t="s">
        <v>535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2"/>
        <v>0</v>
      </c>
      <c r="I256" s="154">
        <f t="shared" si="32"/>
        <v>0</v>
      </c>
      <c r="J256" s="58"/>
      <c r="K256" s="41">
        <f t="shared" si="33"/>
        <v>0</v>
      </c>
      <c r="L256" s="90">
        <f t="shared" si="34"/>
        <v>0</v>
      </c>
      <c r="M256" s="58"/>
      <c r="N256" s="101" t="s">
        <v>538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2"/>
        <v>0</v>
      </c>
      <c r="I257" s="154">
        <f t="shared" si="32"/>
        <v>0</v>
      </c>
      <c r="J257" s="58"/>
      <c r="K257" s="41">
        <f t="shared" si="33"/>
        <v>0</v>
      </c>
      <c r="L257" s="90">
        <f t="shared" si="34"/>
        <v>0</v>
      </c>
      <c r="M257" s="58"/>
      <c r="N257" s="101" t="s">
        <v>541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2"/>
        <v>0</v>
      </c>
      <c r="I258" s="154">
        <f t="shared" si="32"/>
        <v>0</v>
      </c>
      <c r="J258" s="58"/>
      <c r="K258" s="41">
        <f t="shared" si="33"/>
        <v>0</v>
      </c>
      <c r="L258" s="90">
        <f t="shared" si="34"/>
        <v>0</v>
      </c>
      <c r="M258" s="58"/>
      <c r="N258" s="101" t="s">
        <v>544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2"/>
        <v>0</v>
      </c>
      <c r="I259" s="154">
        <f t="shared" si="32"/>
        <v>0</v>
      </c>
      <c r="J259" s="58"/>
      <c r="K259" s="41">
        <f t="shared" si="33"/>
        <v>0</v>
      </c>
      <c r="L259" s="90">
        <f t="shared" si="34"/>
        <v>0</v>
      </c>
      <c r="M259" s="58"/>
      <c r="N259" s="101" t="s">
        <v>547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2"/>
        <v>0</v>
      </c>
      <c r="I260" s="154">
        <f t="shared" si="32"/>
        <v>0</v>
      </c>
      <c r="J260" s="58"/>
      <c r="K260" s="41">
        <f t="shared" si="33"/>
        <v>0</v>
      </c>
      <c r="L260" s="90">
        <f t="shared" si="34"/>
        <v>0</v>
      </c>
      <c r="M260" s="58"/>
      <c r="N260" s="101" t="s">
        <v>550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2"/>
        <v>0</v>
      </c>
      <c r="I261" s="154">
        <f t="shared" si="32"/>
        <v>0</v>
      </c>
      <c r="J261" s="58"/>
      <c r="K261" s="41">
        <f t="shared" si="33"/>
        <v>0</v>
      </c>
      <c r="L261" s="90">
        <f t="shared" si="34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2"/>
        <v>0</v>
      </c>
      <c r="I262" s="154">
        <f t="shared" si="32"/>
        <v>0</v>
      </c>
      <c r="J262" s="58"/>
      <c r="K262" s="41">
        <f t="shared" si="33"/>
        <v>0</v>
      </c>
      <c r="L262" s="90">
        <f t="shared" si="34"/>
        <v>0</v>
      </c>
      <c r="M262" s="58"/>
      <c r="N262" s="101" t="s">
        <v>554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2"/>
        <v>0</v>
      </c>
      <c r="I263" s="154">
        <f t="shared" si="32"/>
        <v>0</v>
      </c>
      <c r="J263" s="58"/>
      <c r="K263" s="41">
        <f t="shared" si="33"/>
        <v>0</v>
      </c>
      <c r="L263" s="90">
        <f t="shared" si="34"/>
        <v>0</v>
      </c>
      <c r="M263" s="58"/>
      <c r="N263" s="101" t="s">
        <v>557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2"/>
        <v>0</v>
      </c>
      <c r="I264" s="154">
        <f t="shared" si="32"/>
        <v>0</v>
      </c>
      <c r="J264" s="58"/>
      <c r="K264" s="41">
        <f t="shared" si="33"/>
        <v>0</v>
      </c>
      <c r="L264" s="90">
        <f t="shared" si="34"/>
        <v>0</v>
      </c>
      <c r="M264" s="58"/>
      <c r="N264" s="101" t="s">
        <v>560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2"/>
        <v>0</v>
      </c>
      <c r="I265" s="154">
        <f t="shared" si="32"/>
        <v>0</v>
      </c>
      <c r="J265" s="58"/>
      <c r="K265" s="41">
        <f t="shared" si="33"/>
        <v>0</v>
      </c>
      <c r="L265" s="90">
        <f t="shared" si="34"/>
        <v>0</v>
      </c>
      <c r="M265" s="58"/>
      <c r="N265" s="101" t="s">
        <v>563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2"/>
        <v>0</v>
      </c>
      <c r="I266" s="154">
        <f t="shared" si="32"/>
        <v>0</v>
      </c>
      <c r="J266" s="58"/>
      <c r="K266" s="41">
        <f t="shared" si="33"/>
        <v>0</v>
      </c>
      <c r="L266" s="90">
        <f t="shared" si="34"/>
        <v>0</v>
      </c>
      <c r="M266" s="58"/>
      <c r="N266" s="101" t="s">
        <v>566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2"/>
        <v>0</v>
      </c>
      <c r="I267" s="154">
        <f t="shared" si="32"/>
        <v>0</v>
      </c>
      <c r="J267" s="58"/>
      <c r="K267" s="41">
        <f t="shared" si="33"/>
        <v>0</v>
      </c>
      <c r="L267" s="90">
        <f t="shared" si="34"/>
        <v>0</v>
      </c>
      <c r="M267" s="58"/>
      <c r="N267" s="101" t="s">
        <v>569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2"/>
        <v>0</v>
      </c>
      <c r="I268" s="154">
        <f t="shared" si="32"/>
        <v>0</v>
      </c>
      <c r="J268" s="58"/>
      <c r="K268" s="41">
        <f t="shared" si="33"/>
        <v>0</v>
      </c>
      <c r="L268" s="90">
        <f t="shared" si="34"/>
        <v>0</v>
      </c>
      <c r="M268" s="58"/>
      <c r="N268" s="101" t="s">
        <v>571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2"/>
        <v>0</v>
      </c>
      <c r="I269" s="154">
        <f t="shared" si="32"/>
        <v>0</v>
      </c>
      <c r="J269" s="58"/>
      <c r="K269" s="41">
        <f t="shared" si="33"/>
        <v>0</v>
      </c>
      <c r="L269" s="90">
        <f t="shared" si="34"/>
        <v>0</v>
      </c>
      <c r="M269" s="58"/>
      <c r="N269" s="101" t="s">
        <v>573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2"/>
        <v>0</v>
      </c>
      <c r="I270" s="154">
        <f t="shared" si="32"/>
        <v>0</v>
      </c>
      <c r="J270" s="58"/>
      <c r="K270" s="41">
        <f t="shared" si="33"/>
        <v>0</v>
      </c>
      <c r="L270" s="90">
        <f t="shared" si="34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2"/>
        <v>0</v>
      </c>
      <c r="I271" s="154">
        <f t="shared" si="32"/>
        <v>0</v>
      </c>
      <c r="J271" s="58"/>
      <c r="K271" s="41">
        <f t="shared" si="33"/>
        <v>0</v>
      </c>
      <c r="L271" s="90">
        <f t="shared" si="34"/>
        <v>0</v>
      </c>
      <c r="M271" s="58"/>
      <c r="N271" s="101" t="s">
        <v>577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2"/>
        <v>0</v>
      </c>
      <c r="I272" s="154">
        <f t="shared" si="32"/>
        <v>0</v>
      </c>
      <c r="J272" s="58"/>
      <c r="K272" s="41">
        <f t="shared" si="33"/>
        <v>0</v>
      </c>
      <c r="L272" s="90">
        <f t="shared" si="34"/>
        <v>0</v>
      </c>
      <c r="M272" s="58"/>
      <c r="N272" s="101" t="s">
        <v>580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2"/>
        <v>0</v>
      </c>
      <c r="I273" s="154">
        <f t="shared" si="32"/>
        <v>0</v>
      </c>
      <c r="J273" s="58"/>
      <c r="K273" s="41">
        <f t="shared" si="33"/>
        <v>0</v>
      </c>
      <c r="L273" s="90">
        <f t="shared" si="34"/>
        <v>0</v>
      </c>
      <c r="M273" s="58"/>
      <c r="N273" s="101" t="s">
        <v>583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2"/>
        <v>0</v>
      </c>
      <c r="I274" s="154">
        <f t="shared" si="32"/>
        <v>0</v>
      </c>
      <c r="J274" s="58"/>
      <c r="K274" s="41">
        <f t="shared" si="33"/>
        <v>0</v>
      </c>
      <c r="L274" s="90">
        <f t="shared" si="34"/>
        <v>0</v>
      </c>
      <c r="M274" s="58"/>
      <c r="N274" s="101" t="s">
        <v>586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2"/>
        <v>0</v>
      </c>
      <c r="I275" s="154">
        <f t="shared" si="32"/>
        <v>0</v>
      </c>
      <c r="J275" s="58"/>
      <c r="K275" s="41">
        <f t="shared" si="33"/>
        <v>0</v>
      </c>
      <c r="L275" s="90">
        <f t="shared" si="34"/>
        <v>0</v>
      </c>
      <c r="M275" s="58"/>
      <c r="N275" s="101" t="s">
        <v>589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2"/>
        <v>0</v>
      </c>
      <c r="I276" s="154">
        <f t="shared" si="32"/>
        <v>0</v>
      </c>
      <c r="J276" s="58"/>
      <c r="K276" s="41">
        <f t="shared" si="33"/>
        <v>0</v>
      </c>
      <c r="L276" s="90">
        <f t="shared" si="34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2"/>
        <v>0</v>
      </c>
      <c r="I277" s="154">
        <f t="shared" si="32"/>
        <v>0</v>
      </c>
      <c r="J277" s="58"/>
      <c r="K277" s="41">
        <f t="shared" si="33"/>
        <v>0</v>
      </c>
      <c r="L277" s="90">
        <f t="shared" si="34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2"/>
        <v>0</v>
      </c>
      <c r="I278" s="154">
        <f t="shared" si="32"/>
        <v>0</v>
      </c>
      <c r="J278" s="58"/>
      <c r="K278" s="41">
        <f t="shared" si="33"/>
        <v>0</v>
      </c>
      <c r="L278" s="90">
        <f t="shared" si="34"/>
        <v>0</v>
      </c>
      <c r="M278" s="58"/>
      <c r="N278" s="101" t="s">
        <v>595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2"/>
        <v>0</v>
      </c>
      <c r="I279" s="154">
        <f t="shared" si="32"/>
        <v>0</v>
      </c>
      <c r="J279" s="58"/>
      <c r="K279" s="41">
        <f t="shared" si="33"/>
        <v>0</v>
      </c>
      <c r="L279" s="90">
        <f t="shared" si="34"/>
        <v>0</v>
      </c>
      <c r="M279" s="58"/>
      <c r="N279" s="101" t="s">
        <v>598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2"/>
        <v>0</v>
      </c>
      <c r="I280" s="154">
        <f t="shared" si="32"/>
        <v>0</v>
      </c>
      <c r="J280" s="58"/>
      <c r="K280" s="41">
        <f t="shared" si="33"/>
        <v>0</v>
      </c>
      <c r="L280" s="90">
        <f t="shared" si="34"/>
        <v>0</v>
      </c>
      <c r="M280" s="58"/>
      <c r="N280" s="101" t="s">
        <v>601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5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6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277">
        <f>'BoM AE'!J62</f>
        <v>0</v>
      </c>
      <c r="F285" s="67"/>
      <c r="G285" s="100"/>
      <c r="H285" s="154">
        <f t="shared" si="35"/>
        <v>0</v>
      </c>
      <c r="I285" s="229">
        <f>E285*G285</f>
        <v>0</v>
      </c>
      <c r="J285" s="99"/>
      <c r="K285" s="41">
        <f t="shared" ref="K285:K287" si="37">D285+E285</f>
        <v>0</v>
      </c>
      <c r="L285" s="90">
        <f t="shared" si="36"/>
        <v>0</v>
      </c>
      <c r="M285" s="181"/>
      <c r="N285" s="101" t="s">
        <v>608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257">
        <f>'BoM AE'!J63</f>
        <v>0</v>
      </c>
      <c r="F286" s="67"/>
      <c r="G286" s="42"/>
      <c r="H286" s="154">
        <f t="shared" si="35"/>
        <v>0</v>
      </c>
      <c r="I286" s="229">
        <f>E286*G286</f>
        <v>0</v>
      </c>
      <c r="J286" s="99"/>
      <c r="K286" s="41">
        <f t="shared" si="37"/>
        <v>0</v>
      </c>
      <c r="L286" s="90">
        <f t="shared" si="36"/>
        <v>0</v>
      </c>
      <c r="M286" s="156"/>
      <c r="N286" s="101" t="s">
        <v>612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41"/>
      <c r="F287" s="100"/>
      <c r="G287" s="42"/>
      <c r="H287" s="154">
        <f t="shared" si="35"/>
        <v>0</v>
      </c>
      <c r="I287" s="229">
        <f>E287*G287</f>
        <v>0</v>
      </c>
      <c r="J287" s="99"/>
      <c r="K287" s="41">
        <f t="shared" si="37"/>
        <v>0</v>
      </c>
      <c r="L287" s="90">
        <f t="shared" si="36"/>
        <v>0</v>
      </c>
      <c r="M287" s="156"/>
      <c r="N287" s="101" t="s">
        <v>616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7">
        <f>SUM('BoM AE'!J9:J15)</f>
        <v>0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0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 ht="25.5">
      <c r="A292" s="38" t="s">
        <v>69</v>
      </c>
      <c r="B292" s="73" t="s">
        <v>622</v>
      </c>
      <c r="C292" s="186" t="s">
        <v>623</v>
      </c>
      <c r="D292" s="41"/>
      <c r="E292" s="277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8">
        <f>E291</f>
        <v>0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0</v>
      </c>
      <c r="L296" s="90">
        <f t="shared" ref="L296" si="38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7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 ht="25.5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39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39"/>
        <v>0</v>
      </c>
      <c r="I308" s="233">
        <f t="shared" si="39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39"/>
        <v>0</v>
      </c>
      <c r="I309" s="233">
        <f t="shared" si="39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39"/>
        <v>0</v>
      </c>
      <c r="I310" s="233">
        <f t="shared" si="39"/>
        <v>0</v>
      </c>
      <c r="J310" s="67"/>
      <c r="K310" s="181"/>
      <c r="L310" s="181"/>
      <c r="M310" s="181"/>
      <c r="N310" s="101" t="s">
        <v>644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0">D314*F314</f>
        <v>0</v>
      </c>
      <c r="I314" s="233">
        <f t="shared" si="40"/>
        <v>0</v>
      </c>
      <c r="J314" s="67"/>
      <c r="K314" s="181"/>
      <c r="L314" s="181"/>
      <c r="M314" s="181"/>
      <c r="N314" s="101" t="s">
        <v>650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0"/>
        <v>0</v>
      </c>
      <c r="I315" s="233">
        <f t="shared" si="40"/>
        <v>0</v>
      </c>
      <c r="J315" s="67"/>
      <c r="K315" s="181"/>
      <c r="L315" s="181"/>
      <c r="M315" s="181"/>
      <c r="N315" s="101" t="s">
        <v>653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0"/>
        <v>0</v>
      </c>
      <c r="I319" s="233">
        <f t="shared" si="40"/>
        <v>0</v>
      </c>
      <c r="J319" s="214"/>
      <c r="K319" s="214"/>
      <c r="L319" s="214"/>
      <c r="M319" s="214"/>
      <c r="N319" s="101" t="s">
        <v>659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0"/>
        <v>0</v>
      </c>
      <c r="I320" s="233">
        <f t="shared" si="40"/>
        <v>0</v>
      </c>
      <c r="J320" s="214"/>
      <c r="K320" s="214"/>
      <c r="L320" s="214"/>
      <c r="M320" s="214"/>
      <c r="N320" s="101" t="s">
        <v>663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 t="e">
        <f>H10+H105+H206+H242+H281+H288+H293+H297+H301+H305+H311+H316+H321</f>
        <v>#REF!</v>
      </c>
      <c r="I323" s="219">
        <f>I10+I105+I206+I242+I281+I288+I293+I297+I301+I305+I311+I316+I321</f>
        <v>0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 t="e">
        <f>H323+I323</f>
        <v>#REF!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 t="e">
        <f>H324/O5</f>
        <v>#REF!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 t="e">
        <f>H325/14000</f>
        <v>#REF!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861</v>
      </c>
      <c r="N328" s="240" t="s">
        <v>670</v>
      </c>
      <c r="O328" s="284"/>
    </row>
    <row r="329" spans="1:28">
      <c r="B329" s="225"/>
    </row>
    <row r="330" spans="1:28">
      <c r="B330" s="226" t="s">
        <v>786</v>
      </c>
      <c r="N330" s="12" t="s">
        <v>671</v>
      </c>
    </row>
    <row r="331" spans="1:28">
      <c r="B331" s="226" t="s">
        <v>862</v>
      </c>
      <c r="N331" s="12" t="s">
        <v>672</v>
      </c>
    </row>
    <row r="332" spans="1:28">
      <c r="B332" s="226" t="s">
        <v>776</v>
      </c>
      <c r="N332" s="12" t="s">
        <v>785</v>
      </c>
    </row>
    <row r="333" spans="1:28">
      <c r="B333" s="226" t="s">
        <v>673</v>
      </c>
      <c r="N333" s="12" t="s">
        <v>673</v>
      </c>
    </row>
    <row r="334" spans="1:28">
      <c r="A334" s="12"/>
      <c r="B334" s="326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26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26"/>
    </row>
    <row r="337" spans="2:2" ht="13.5" customHeight="1">
      <c r="B337" s="326"/>
    </row>
    <row r="338" spans="2:2">
      <c r="B338" s="226" t="s">
        <v>863</v>
      </c>
    </row>
    <row r="339" spans="2:2">
      <c r="B339" s="260"/>
    </row>
  </sheetData>
  <mergeCells count="1">
    <mergeCell ref="B334:B337"/>
  </mergeCells>
  <conditionalFormatting sqref="M204">
    <cfRule type="duplicateValues" dxfId="23" priority="15"/>
  </conditionalFormatting>
  <conditionalFormatting sqref="M218:M220">
    <cfRule type="duplicateValues" dxfId="22" priority="18"/>
  </conditionalFormatting>
  <conditionalFormatting sqref="N8:N9">
    <cfRule type="duplicateValues" dxfId="21" priority="4"/>
  </conditionalFormatting>
  <conditionalFormatting sqref="N10:N11 N140 N94:N118 N90:N92 N211:N213 N142:N143 N160:N209 N133:N134 N136 N145:N158 N138 N13:N28 N221 N223:N239 N65:N67 N242:N320 N41:N53 N56:N63 N74:N84">
    <cfRule type="duplicateValues" dxfId="20" priority="24"/>
  </conditionalFormatting>
  <conditionalFormatting sqref="N54:N55">
    <cfRule type="duplicateValues" dxfId="19" priority="3"/>
  </conditionalFormatting>
  <conditionalFormatting sqref="N68:N73">
    <cfRule type="duplicateValues" dxfId="18" priority="2"/>
  </conditionalFormatting>
  <conditionalFormatting sqref="N83:N84">
    <cfRule type="duplicateValues" dxfId="17" priority="22"/>
    <cfRule type="duplicateValues" dxfId="16" priority="23"/>
  </conditionalFormatting>
  <conditionalFormatting sqref="N84">
    <cfRule type="duplicateValues" dxfId="15" priority="19"/>
    <cfRule type="duplicateValues" dxfId="14" priority="20"/>
    <cfRule type="duplicateValues" dxfId="13" priority="21"/>
  </conditionalFormatting>
  <conditionalFormatting sqref="N85:N89"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N93">
    <cfRule type="duplicateValues" dxfId="6" priority="5"/>
  </conditionalFormatting>
  <conditionalFormatting sqref="N119:N120">
    <cfRule type="duplicateValues" dxfId="5" priority="7"/>
  </conditionalFormatting>
  <conditionalFormatting sqref="N121:N132">
    <cfRule type="duplicateValues" dxfId="4" priority="6"/>
  </conditionalFormatting>
  <conditionalFormatting sqref="N215:N216">
    <cfRule type="duplicateValues" dxfId="3" priority="16"/>
  </conditionalFormatting>
  <conditionalFormatting sqref="N218">
    <cfRule type="duplicateValues" dxfId="2" priority="17"/>
  </conditionalFormatting>
  <conditionalFormatting sqref="N219:N220">
    <cfRule type="duplicateValues" dxfId="1" priority="1"/>
  </conditionalFormatting>
  <conditionalFormatting sqref="N240:N241">
    <cfRule type="duplicateValues" dxfId="0" priority="8"/>
  </conditionalFormatting>
  <pageMargins left="0.7" right="0.7" top="0.75" bottom="0.75" header="0.3" footer="0.3"/>
  <pageSetup paperSize="9" scale="3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L106"/>
  <sheetViews>
    <sheetView showGridLines="0" zoomScale="85" zoomScaleNormal="85" workbookViewId="0">
      <selection activeCell="C17" sqref="C17"/>
    </sheetView>
  </sheetViews>
  <sheetFormatPr defaultColWidth="9" defaultRowHeight="15"/>
  <cols>
    <col min="1" max="1" width="43.42578125" bestFit="1" customWidth="1"/>
    <col min="2" max="2" width="49.5703125" bestFit="1" customWidth="1"/>
    <col min="3" max="3" width="9" customWidth="1"/>
    <col min="4" max="4" width="10.28515625" customWidth="1"/>
    <col min="5" max="5" width="71.5703125" bestFit="1" customWidth="1"/>
    <col min="6" max="7" width="9" customWidth="1"/>
    <col min="8" max="8" width="50" bestFit="1" customWidth="1"/>
    <col min="9" max="9" width="48.5703125" bestFit="1" customWidth="1"/>
    <col min="10" max="11" width="9" customWidth="1"/>
    <col min="12" max="12" width="47.140625" hidden="1" customWidth="1"/>
  </cols>
  <sheetData>
    <row r="1" spans="1:12">
      <c r="A1" s="287" t="s">
        <v>775</v>
      </c>
      <c r="B1" s="262" t="str">
        <f>'BoQ NRO Cluster'!O3</f>
        <v>APD - RANCA PANGGUNG RW 08</v>
      </c>
      <c r="C1" s="1" t="s">
        <v>675</v>
      </c>
      <c r="D1" s="1" t="s">
        <v>11</v>
      </c>
      <c r="E1" s="1" t="s">
        <v>22</v>
      </c>
      <c r="H1" s="287" t="s">
        <v>789</v>
      </c>
      <c r="I1" s="262" t="str">
        <f>'BoQ NRO All Feeder'!O3</f>
        <v>XXX</v>
      </c>
      <c r="J1" s="1" t="s">
        <v>675</v>
      </c>
      <c r="K1" s="1" t="s">
        <v>676</v>
      </c>
      <c r="L1" s="1" t="s">
        <v>22</v>
      </c>
    </row>
    <row r="2" spans="1:12">
      <c r="A2" s="2" t="s">
        <v>677</v>
      </c>
      <c r="B2" s="3" t="s">
        <v>678</v>
      </c>
      <c r="C2" s="3">
        <v>484</v>
      </c>
      <c r="D2" s="3" t="s">
        <v>679</v>
      </c>
      <c r="E2" s="2" t="s">
        <v>680</v>
      </c>
      <c r="H2" s="2" t="s">
        <v>681</v>
      </c>
      <c r="I2" s="256" t="s">
        <v>774</v>
      </c>
      <c r="J2" s="269">
        <v>0</v>
      </c>
      <c r="K2" s="3" t="s">
        <v>679</v>
      </c>
      <c r="L2" s="2" t="s">
        <v>680</v>
      </c>
    </row>
    <row r="3" spans="1:12">
      <c r="A3" s="2"/>
      <c r="B3" s="3" t="s">
        <v>682</v>
      </c>
      <c r="C3" s="3">
        <v>490</v>
      </c>
      <c r="D3" s="3" t="s">
        <v>679</v>
      </c>
      <c r="E3" s="2" t="s">
        <v>680</v>
      </c>
      <c r="H3" s="2"/>
      <c r="I3" s="256" t="s">
        <v>772</v>
      </c>
      <c r="J3" s="269">
        <v>0</v>
      </c>
      <c r="K3" s="3" t="s">
        <v>679</v>
      </c>
      <c r="L3" s="2" t="s">
        <v>680</v>
      </c>
    </row>
    <row r="4" spans="1:12">
      <c r="A4" s="2"/>
      <c r="B4" s="3" t="s">
        <v>683</v>
      </c>
      <c r="C4" s="3">
        <v>0</v>
      </c>
      <c r="D4" s="3" t="s">
        <v>679</v>
      </c>
      <c r="E4" s="2" t="s">
        <v>680</v>
      </c>
      <c r="H4" s="2"/>
      <c r="I4" s="256" t="s">
        <v>773</v>
      </c>
      <c r="J4" s="269">
        <v>0</v>
      </c>
      <c r="K4" s="3" t="s">
        <v>679</v>
      </c>
      <c r="L4" s="2" t="s">
        <v>680</v>
      </c>
    </row>
    <row r="5" spans="1:12">
      <c r="A5" s="2"/>
      <c r="B5" s="3" t="s">
        <v>684</v>
      </c>
      <c r="C5" s="3">
        <v>0</v>
      </c>
      <c r="D5" s="3" t="s">
        <v>679</v>
      </c>
      <c r="E5" s="2" t="s">
        <v>680</v>
      </c>
      <c r="H5" s="2"/>
      <c r="I5" s="283" t="s">
        <v>788</v>
      </c>
      <c r="J5" s="269">
        <v>0</v>
      </c>
      <c r="K5" s="3" t="s">
        <v>679</v>
      </c>
      <c r="L5" s="2" t="s">
        <v>680</v>
      </c>
    </row>
    <row r="6" spans="1:12">
      <c r="A6" s="2"/>
      <c r="B6" s="3" t="s">
        <v>686</v>
      </c>
      <c r="C6" s="3">
        <v>0</v>
      </c>
      <c r="D6" s="3" t="s">
        <v>679</v>
      </c>
      <c r="E6" s="2" t="s">
        <v>680</v>
      </c>
      <c r="H6" s="2"/>
      <c r="I6" s="283" t="s">
        <v>787</v>
      </c>
      <c r="J6" s="269">
        <v>0</v>
      </c>
      <c r="K6" s="3" t="s">
        <v>679</v>
      </c>
      <c r="L6" s="2" t="s">
        <v>680</v>
      </c>
    </row>
    <row r="7" spans="1:12">
      <c r="A7" s="2"/>
      <c r="B7" s="3" t="s">
        <v>688</v>
      </c>
      <c r="C7" s="3">
        <v>0</v>
      </c>
      <c r="D7" s="3" t="s">
        <v>679</v>
      </c>
      <c r="E7" s="2" t="s">
        <v>680</v>
      </c>
      <c r="H7" s="2"/>
      <c r="I7" s="3" t="s">
        <v>685</v>
      </c>
      <c r="J7" s="269">
        <v>0</v>
      </c>
      <c r="K7" s="3" t="s">
        <v>679</v>
      </c>
      <c r="L7" s="2" t="s">
        <v>689</v>
      </c>
    </row>
    <row r="8" spans="1:12">
      <c r="A8" s="2"/>
      <c r="B8" s="3" t="s">
        <v>690</v>
      </c>
      <c r="C8" s="3">
        <v>0</v>
      </c>
      <c r="D8" s="3" t="s">
        <v>679</v>
      </c>
      <c r="E8" s="2" t="s">
        <v>680</v>
      </c>
      <c r="H8" s="2"/>
      <c r="I8" s="3" t="s">
        <v>687</v>
      </c>
      <c r="J8" s="269">
        <v>0</v>
      </c>
      <c r="K8" s="3" t="s">
        <v>679</v>
      </c>
      <c r="L8" s="2" t="s">
        <v>689</v>
      </c>
    </row>
    <row r="9" spans="1:12">
      <c r="A9" s="2"/>
      <c r="B9" s="3" t="s">
        <v>691</v>
      </c>
      <c r="C9" s="3">
        <v>0</v>
      </c>
      <c r="D9" s="3" t="s">
        <v>679</v>
      </c>
      <c r="E9" s="2" t="s">
        <v>680</v>
      </c>
      <c r="H9" s="2" t="s">
        <v>796</v>
      </c>
      <c r="I9" s="2" t="str">
        <f>I2</f>
        <v>24C/2T</v>
      </c>
      <c r="J9" s="261">
        <f>ROUNDUP(((J2)+(J16*20))*1.05,0)</f>
        <v>0</v>
      </c>
      <c r="K9" s="2" t="s">
        <v>679</v>
      </c>
      <c r="L9" s="2" t="s">
        <v>689</v>
      </c>
    </row>
    <row r="10" spans="1:12">
      <c r="A10" s="2"/>
      <c r="B10" s="3" t="s">
        <v>692</v>
      </c>
      <c r="C10" s="3">
        <v>0</v>
      </c>
      <c r="D10" s="3" t="s">
        <v>679</v>
      </c>
      <c r="E10" s="2" t="s">
        <v>680</v>
      </c>
      <c r="H10" s="2"/>
      <c r="I10" s="2" t="str">
        <f>I3</f>
        <v>36C/3T</v>
      </c>
      <c r="J10" s="261">
        <f t="shared" ref="J10:J15" si="0">ROUNDUP(((J3)+(J17*20))*1.05,0)</f>
        <v>0</v>
      </c>
      <c r="K10" s="2" t="s">
        <v>679</v>
      </c>
      <c r="L10" s="2" t="s">
        <v>689</v>
      </c>
    </row>
    <row r="11" spans="1:12">
      <c r="A11" s="2"/>
      <c r="B11" s="3" t="s">
        <v>693</v>
      </c>
      <c r="C11" s="3">
        <v>0</v>
      </c>
      <c r="D11" s="3" t="s">
        <v>679</v>
      </c>
      <c r="E11" s="2" t="s">
        <v>680</v>
      </c>
      <c r="H11" s="2"/>
      <c r="I11" s="2" t="str">
        <f>I4</f>
        <v>48C/4T</v>
      </c>
      <c r="J11" s="261">
        <f t="shared" si="0"/>
        <v>0</v>
      </c>
      <c r="K11" s="2" t="s">
        <v>679</v>
      </c>
      <c r="L11" s="2" t="s">
        <v>689</v>
      </c>
    </row>
    <row r="12" spans="1:12">
      <c r="A12" s="2"/>
      <c r="B12" s="3" t="s">
        <v>694</v>
      </c>
      <c r="C12" s="3">
        <v>0</v>
      </c>
      <c r="D12" s="3" t="s">
        <v>679</v>
      </c>
      <c r="E12" s="2" t="s">
        <v>680</v>
      </c>
      <c r="H12" s="2"/>
      <c r="I12" s="286" t="s">
        <v>788</v>
      </c>
      <c r="J12" s="261">
        <f t="shared" si="0"/>
        <v>0</v>
      </c>
      <c r="K12" s="2" t="s">
        <v>679</v>
      </c>
      <c r="L12" s="2" t="s">
        <v>689</v>
      </c>
    </row>
    <row r="13" spans="1:12">
      <c r="A13" s="2"/>
      <c r="B13" s="3" t="s">
        <v>696</v>
      </c>
      <c r="C13" s="3">
        <v>0</v>
      </c>
      <c r="D13" s="3" t="s">
        <v>679</v>
      </c>
      <c r="E13" s="2" t="s">
        <v>680</v>
      </c>
      <c r="H13" s="2"/>
      <c r="I13" s="286" t="s">
        <v>787</v>
      </c>
      <c r="J13" s="261">
        <f t="shared" si="0"/>
        <v>0</v>
      </c>
      <c r="K13" s="2" t="s">
        <v>679</v>
      </c>
      <c r="L13" s="2" t="s">
        <v>689</v>
      </c>
    </row>
    <row r="14" spans="1:12">
      <c r="A14" s="329" t="s">
        <v>677</v>
      </c>
      <c r="B14" s="329"/>
      <c r="C14" s="262">
        <f>SUM(C2:C13)</f>
        <v>974</v>
      </c>
      <c r="D14" s="1" t="s">
        <v>679</v>
      </c>
      <c r="E14" s="2" t="s">
        <v>697</v>
      </c>
      <c r="H14" s="2"/>
      <c r="I14" s="2" t="str">
        <f>I7</f>
        <v>144C/12T</v>
      </c>
      <c r="J14" s="261">
        <f t="shared" si="0"/>
        <v>0</v>
      </c>
      <c r="K14" s="2" t="s">
        <v>679</v>
      </c>
      <c r="L14" s="2" t="s">
        <v>689</v>
      </c>
    </row>
    <row r="15" spans="1:12">
      <c r="A15" s="2"/>
      <c r="B15" s="263" t="s">
        <v>698</v>
      </c>
      <c r="C15" s="263">
        <f>64+42+41+39</f>
        <v>186</v>
      </c>
      <c r="D15" s="263" t="s">
        <v>679</v>
      </c>
      <c r="E15" s="2" t="s">
        <v>680</v>
      </c>
      <c r="H15" s="2"/>
      <c r="I15" s="2" t="str">
        <f>I8</f>
        <v>288C/24T</v>
      </c>
      <c r="J15" s="261">
        <f t="shared" si="0"/>
        <v>0</v>
      </c>
      <c r="K15" s="2" t="s">
        <v>679</v>
      </c>
      <c r="L15" s="2" t="s">
        <v>689</v>
      </c>
    </row>
    <row r="16" spans="1:12">
      <c r="A16" s="2" t="s">
        <v>798</v>
      </c>
      <c r="B16" s="2" t="str">
        <f t="shared" ref="B16:B27" si="1">B2</f>
        <v>Line A - 24C/2T</v>
      </c>
      <c r="C16" s="261">
        <f>IF(C2=0,0,(ROUNDUP(((C2)+($C$44+$C$40)*20)*1.05,0)))</f>
        <v>614</v>
      </c>
      <c r="D16" s="2" t="s">
        <v>679</v>
      </c>
      <c r="E16" s="2" t="s">
        <v>697</v>
      </c>
      <c r="H16" s="2" t="s">
        <v>695</v>
      </c>
      <c r="I16" s="2" t="str">
        <f>I2</f>
        <v>24C/2T</v>
      </c>
      <c r="J16" s="261">
        <f>IF(J2=0,0,(ROUNDUP((J2/400)+1,0)))</f>
        <v>0</v>
      </c>
      <c r="K16" s="2" t="s">
        <v>167</v>
      </c>
      <c r="L16" s="2" t="s">
        <v>689</v>
      </c>
    </row>
    <row r="17" spans="1:12">
      <c r="A17" s="2"/>
      <c r="B17" s="2" t="str">
        <f t="shared" si="1"/>
        <v>Line B - 24C/2T</v>
      </c>
      <c r="C17" s="261">
        <f>IF(C3=0,0,(ROUNDUP(((C3)+($C$45+$C$41)*20)*1.05,0)))</f>
        <v>662</v>
      </c>
      <c r="D17" s="2" t="s">
        <v>679</v>
      </c>
      <c r="E17" s="2" t="s">
        <v>697</v>
      </c>
      <c r="H17" s="2"/>
      <c r="I17" s="2" t="str">
        <f>I3</f>
        <v>36C/3T</v>
      </c>
      <c r="J17" s="261">
        <f t="shared" ref="J17:J22" si="2">IF(J3=0,0,(ROUNDUP((J3/400)+1,0)))</f>
        <v>0</v>
      </c>
      <c r="K17" s="2" t="s">
        <v>167</v>
      </c>
      <c r="L17" s="2" t="s">
        <v>680</v>
      </c>
    </row>
    <row r="18" spans="1:12">
      <c r="A18" s="2"/>
      <c r="B18" s="2" t="str">
        <f t="shared" si="1"/>
        <v>Line C - 24C/2T</v>
      </c>
      <c r="C18" s="261">
        <f>IF(C4=0,0,(ROUNDUP(((C4)+($C$46+$C$42)*20)*1.05,0)))</f>
        <v>0</v>
      </c>
      <c r="D18" s="2" t="s">
        <v>679</v>
      </c>
      <c r="E18" s="2" t="s">
        <v>697</v>
      </c>
      <c r="H18" s="2"/>
      <c r="I18" s="2" t="str">
        <f>I4</f>
        <v>48C/4T</v>
      </c>
      <c r="J18" s="261">
        <f t="shared" si="2"/>
        <v>0</v>
      </c>
      <c r="K18" s="2" t="s">
        <v>167</v>
      </c>
      <c r="L18" s="2" t="s">
        <v>680</v>
      </c>
    </row>
    <row r="19" spans="1:12">
      <c r="A19" s="2"/>
      <c r="B19" s="2" t="str">
        <f t="shared" si="1"/>
        <v>Line D - 24C/2T</v>
      </c>
      <c r="C19" s="261">
        <f>IF(C5=0,0,(ROUNDUP(((C5)+($C$47+$C$43)*20)*1.05,0)))</f>
        <v>0</v>
      </c>
      <c r="D19" s="2" t="s">
        <v>679</v>
      </c>
      <c r="E19" s="2" t="s">
        <v>697</v>
      </c>
      <c r="H19" s="2"/>
      <c r="I19" s="286" t="s">
        <v>788</v>
      </c>
      <c r="J19" s="261">
        <f t="shared" si="2"/>
        <v>0</v>
      </c>
      <c r="K19" s="2" t="s">
        <v>167</v>
      </c>
      <c r="L19" s="2" t="s">
        <v>680</v>
      </c>
    </row>
    <row r="20" spans="1:12">
      <c r="A20" s="2"/>
      <c r="B20" s="2" t="str">
        <f t="shared" si="1"/>
        <v>Line A - 36C/3T</v>
      </c>
      <c r="C20" s="261">
        <f>IF(C6=0,0,(ROUNDUP(((C6)+($C$44+$C$40)*20)*1.05,0)))</f>
        <v>0</v>
      </c>
      <c r="D20" s="2" t="s">
        <v>679</v>
      </c>
      <c r="E20" s="2" t="s">
        <v>697</v>
      </c>
      <c r="H20" s="2"/>
      <c r="I20" s="286" t="s">
        <v>787</v>
      </c>
      <c r="J20" s="261">
        <f t="shared" si="2"/>
        <v>0</v>
      </c>
      <c r="K20" s="2" t="s">
        <v>167</v>
      </c>
      <c r="L20" s="2" t="s">
        <v>680</v>
      </c>
    </row>
    <row r="21" spans="1:12">
      <c r="A21" s="2"/>
      <c r="B21" s="2" t="str">
        <f t="shared" si="1"/>
        <v>Line B - 36C/3T</v>
      </c>
      <c r="C21" s="261">
        <f>IF(C7=0,0,(ROUNDUP(((C7)+($C$45+$C$41)*20)*1.05,0)))</f>
        <v>0</v>
      </c>
      <c r="D21" s="2" t="s">
        <v>679</v>
      </c>
      <c r="E21" s="2" t="s">
        <v>697</v>
      </c>
      <c r="H21" s="2"/>
      <c r="I21" s="2" t="str">
        <f>I7</f>
        <v>144C/12T</v>
      </c>
      <c r="J21" s="261">
        <f t="shared" si="2"/>
        <v>0</v>
      </c>
      <c r="K21" s="2" t="s">
        <v>167</v>
      </c>
      <c r="L21" s="2" t="s">
        <v>680</v>
      </c>
    </row>
    <row r="22" spans="1:12">
      <c r="A22" s="2"/>
      <c r="B22" s="2" t="str">
        <f t="shared" si="1"/>
        <v>Line C - 36C/3T</v>
      </c>
      <c r="C22" s="261">
        <f>IF(C8=0,0,(ROUNDUP(((C8)+($C$46+$C$42)*20)*1.05,0)))</f>
        <v>0</v>
      </c>
      <c r="D22" s="2" t="s">
        <v>679</v>
      </c>
      <c r="E22" s="2" t="s">
        <v>697</v>
      </c>
      <c r="H22" s="2"/>
      <c r="I22" s="2" t="str">
        <f>I8</f>
        <v>288C/24T</v>
      </c>
      <c r="J22" s="261">
        <f t="shared" si="2"/>
        <v>0</v>
      </c>
      <c r="K22" s="2" t="s">
        <v>167</v>
      </c>
      <c r="L22" s="2" t="s">
        <v>680</v>
      </c>
    </row>
    <row r="23" spans="1:12">
      <c r="A23" s="2"/>
      <c r="B23" s="2" t="str">
        <f t="shared" si="1"/>
        <v>Line D - 36C/3T</v>
      </c>
      <c r="C23" s="261">
        <f>IF(C9=0,0,(ROUNDUP(((C9)+($C$47+$C$43)*20)*1.05,0)))</f>
        <v>0</v>
      </c>
      <c r="D23" s="2" t="s">
        <v>679</v>
      </c>
      <c r="E23" s="2" t="s">
        <v>697</v>
      </c>
      <c r="H23" s="2" t="s">
        <v>699</v>
      </c>
      <c r="I23" s="270" t="s">
        <v>136</v>
      </c>
      <c r="J23" s="3">
        <v>0</v>
      </c>
      <c r="K23" s="3" t="s">
        <v>700</v>
      </c>
      <c r="L23" s="2" t="s">
        <v>680</v>
      </c>
    </row>
    <row r="24" spans="1:12">
      <c r="A24" s="2"/>
      <c r="B24" s="2" t="str">
        <f t="shared" si="1"/>
        <v>Line A - 48C/4T</v>
      </c>
      <c r="C24" s="261">
        <f>IF(C10=0,0,(ROUNDUP(((C10)+($C$44+$C$40)*20)*1.05,0)))</f>
        <v>0</v>
      </c>
      <c r="D24" s="2" t="s">
        <v>679</v>
      </c>
      <c r="E24" s="2" t="s">
        <v>697</v>
      </c>
      <c r="H24" s="2"/>
      <c r="I24" s="270" t="s">
        <v>138</v>
      </c>
      <c r="J24" s="3">
        <v>0</v>
      </c>
      <c r="K24" s="3" t="s">
        <v>700</v>
      </c>
      <c r="L24" s="2" t="s">
        <v>680</v>
      </c>
    </row>
    <row r="25" spans="1:12">
      <c r="A25" s="2"/>
      <c r="B25" s="2" t="str">
        <f t="shared" si="1"/>
        <v>Line B - 48C/4T</v>
      </c>
      <c r="C25" s="261">
        <f>IF(C11=0,0,(ROUNDUP(((C11)+($C$45+$C$41)*20)*1.05,0)))</f>
        <v>0</v>
      </c>
      <c r="D25" s="2" t="s">
        <v>679</v>
      </c>
      <c r="E25" s="2" t="s">
        <v>697</v>
      </c>
      <c r="H25" s="2"/>
      <c r="I25" s="270" t="s">
        <v>140</v>
      </c>
      <c r="J25" s="3">
        <v>0</v>
      </c>
      <c r="K25" s="3" t="s">
        <v>700</v>
      </c>
      <c r="L25" s="2" t="s">
        <v>680</v>
      </c>
    </row>
    <row r="26" spans="1:12">
      <c r="A26" s="2"/>
      <c r="B26" s="2" t="str">
        <f t="shared" si="1"/>
        <v>Line C - 48C/4T</v>
      </c>
      <c r="C26" s="261">
        <f>IF(C12=0,0,(ROUNDUP(((C12)+($C$46+$C$42)*20)*1.05,0)))</f>
        <v>0</v>
      </c>
      <c r="D26" s="2" t="s">
        <v>679</v>
      </c>
      <c r="E26" s="2" t="s">
        <v>697</v>
      </c>
      <c r="H26" s="2"/>
      <c r="I26" s="270" t="s">
        <v>142</v>
      </c>
      <c r="J26" s="3">
        <v>0</v>
      </c>
      <c r="K26" s="3" t="s">
        <v>700</v>
      </c>
      <c r="L26" s="2" t="s">
        <v>680</v>
      </c>
    </row>
    <row r="27" spans="1:12">
      <c r="A27" s="2"/>
      <c r="B27" s="2" t="str">
        <f t="shared" si="1"/>
        <v>Line D - 48C/4T</v>
      </c>
      <c r="C27" s="261">
        <f>IF(C13=0,0,(ROUNDUP(((C13)+($C$47+$C$43)*20)*1.05,0)))</f>
        <v>0</v>
      </c>
      <c r="D27" s="2" t="s">
        <v>679</v>
      </c>
      <c r="E27" s="2" t="s">
        <v>697</v>
      </c>
      <c r="H27" s="2"/>
      <c r="I27" s="270" t="s">
        <v>145</v>
      </c>
      <c r="J27" s="3">
        <v>0</v>
      </c>
      <c r="K27" s="3" t="s">
        <v>700</v>
      </c>
      <c r="L27" s="2" t="s">
        <v>680</v>
      </c>
    </row>
    <row r="28" spans="1:12">
      <c r="A28" s="329" t="s">
        <v>701</v>
      </c>
      <c r="B28" s="329"/>
      <c r="C28" s="262">
        <f>SUM(C16:C27)</f>
        <v>1276</v>
      </c>
      <c r="D28" s="1" t="s">
        <v>679</v>
      </c>
      <c r="E28" s="2" t="s">
        <v>697</v>
      </c>
      <c r="H28" s="2"/>
      <c r="I28" s="270" t="s">
        <v>147</v>
      </c>
      <c r="J28" s="3">
        <v>0</v>
      </c>
      <c r="K28" s="3" t="s">
        <v>700</v>
      </c>
      <c r="L28" s="2" t="s">
        <v>680</v>
      </c>
    </row>
    <row r="29" spans="1:12">
      <c r="A29" s="2"/>
      <c r="B29" s="289" t="s">
        <v>795</v>
      </c>
      <c r="C29" s="264">
        <f>ROUNDUP(((C15*5%)+C15),0)</f>
        <v>196</v>
      </c>
      <c r="D29" s="263" t="s">
        <v>679</v>
      </c>
      <c r="E29" s="2" t="s">
        <v>697</v>
      </c>
      <c r="H29" s="2"/>
      <c r="I29" s="270" t="s">
        <v>797</v>
      </c>
      <c r="J29" s="3">
        <v>0</v>
      </c>
      <c r="K29" s="3" t="s">
        <v>700</v>
      </c>
      <c r="L29" s="2" t="s">
        <v>680</v>
      </c>
    </row>
    <row r="30" spans="1:12">
      <c r="A30" s="2" t="s">
        <v>702</v>
      </c>
      <c r="B30" s="3" t="s">
        <v>703</v>
      </c>
      <c r="C30" s="3">
        <v>1</v>
      </c>
      <c r="D30" s="3" t="s">
        <v>72</v>
      </c>
      <c r="E30" s="2" t="s">
        <v>680</v>
      </c>
      <c r="H30" s="2"/>
      <c r="I30" s="270" t="s">
        <v>151</v>
      </c>
      <c r="J30" s="3">
        <v>0</v>
      </c>
      <c r="K30" s="3" t="s">
        <v>700</v>
      </c>
      <c r="L30" s="2" t="s">
        <v>680</v>
      </c>
    </row>
    <row r="31" spans="1:12">
      <c r="A31" s="2"/>
      <c r="B31" s="3" t="s">
        <v>704</v>
      </c>
      <c r="C31" s="3">
        <v>0</v>
      </c>
      <c r="D31" s="3" t="s">
        <v>72</v>
      </c>
      <c r="E31" s="2" t="s">
        <v>680</v>
      </c>
      <c r="H31" s="2"/>
      <c r="I31" s="271" t="s">
        <v>153</v>
      </c>
      <c r="J31" s="3">
        <v>0</v>
      </c>
      <c r="K31" s="3" t="s">
        <v>700</v>
      </c>
      <c r="L31" s="2" t="s">
        <v>689</v>
      </c>
    </row>
    <row r="32" spans="1:12">
      <c r="A32" s="2"/>
      <c r="B32" s="3" t="s">
        <v>706</v>
      </c>
      <c r="C32" s="3">
        <v>0</v>
      </c>
      <c r="D32" s="3" t="s">
        <v>72</v>
      </c>
      <c r="E32" s="2" t="s">
        <v>680</v>
      </c>
      <c r="H32" s="2"/>
      <c r="I32" s="271" t="s">
        <v>155</v>
      </c>
      <c r="J32" s="3">
        <v>0</v>
      </c>
      <c r="K32" s="3" t="s">
        <v>700</v>
      </c>
      <c r="L32" s="2" t="s">
        <v>689</v>
      </c>
    </row>
    <row r="33" spans="1:12">
      <c r="A33" s="2"/>
      <c r="B33" s="3" t="s">
        <v>707</v>
      </c>
      <c r="C33" s="3">
        <v>0</v>
      </c>
      <c r="D33" s="3" t="s">
        <v>72</v>
      </c>
      <c r="E33" s="2" t="s">
        <v>680</v>
      </c>
      <c r="H33" s="2"/>
      <c r="I33" s="271" t="s">
        <v>157</v>
      </c>
      <c r="J33" s="3">
        <v>0</v>
      </c>
      <c r="K33" s="3" t="s">
        <v>700</v>
      </c>
      <c r="L33" s="2" t="s">
        <v>689</v>
      </c>
    </row>
    <row r="34" spans="1:12">
      <c r="A34" s="2" t="s">
        <v>708</v>
      </c>
      <c r="B34" s="2" t="s">
        <v>709</v>
      </c>
      <c r="C34" s="261">
        <f>(ROUNDUP((C35/8),0))</f>
        <v>2</v>
      </c>
      <c r="D34" s="2" t="s">
        <v>109</v>
      </c>
      <c r="E34" s="2" t="s">
        <v>697</v>
      </c>
      <c r="H34" s="2"/>
      <c r="I34" s="271" t="s">
        <v>159</v>
      </c>
      <c r="J34" s="3">
        <v>0</v>
      </c>
      <c r="K34" s="3" t="s">
        <v>700</v>
      </c>
      <c r="L34" s="2" t="s">
        <v>689</v>
      </c>
    </row>
    <row r="35" spans="1:12">
      <c r="A35" s="2"/>
      <c r="B35" s="2" t="s">
        <v>711</v>
      </c>
      <c r="C35" s="261">
        <f>SUM(C36:C39)</f>
        <v>10</v>
      </c>
      <c r="D35" s="2" t="s">
        <v>109</v>
      </c>
      <c r="E35" s="2" t="s">
        <v>697</v>
      </c>
      <c r="H35" s="2"/>
      <c r="I35" s="271" t="s">
        <v>161</v>
      </c>
      <c r="J35" s="3">
        <v>0</v>
      </c>
      <c r="K35" s="3" t="s">
        <v>700</v>
      </c>
      <c r="L35" s="2" t="s">
        <v>689</v>
      </c>
    </row>
    <row r="36" spans="1:12">
      <c r="A36" s="2" t="s">
        <v>713</v>
      </c>
      <c r="B36" s="3" t="s">
        <v>714</v>
      </c>
      <c r="C36" s="3">
        <v>4</v>
      </c>
      <c r="D36" s="3" t="s">
        <v>109</v>
      </c>
      <c r="E36" s="2" t="s">
        <v>680</v>
      </c>
      <c r="H36" s="2"/>
      <c r="I36" s="271" t="s">
        <v>163</v>
      </c>
      <c r="J36" s="3">
        <v>0</v>
      </c>
      <c r="K36" s="3" t="s">
        <v>700</v>
      </c>
      <c r="L36" s="2" t="s">
        <v>689</v>
      </c>
    </row>
    <row r="37" spans="1:12">
      <c r="A37" s="2"/>
      <c r="B37" s="3" t="s">
        <v>716</v>
      </c>
      <c r="C37" s="3">
        <v>6</v>
      </c>
      <c r="D37" s="3" t="s">
        <v>109</v>
      </c>
      <c r="E37" s="2" t="s">
        <v>680</v>
      </c>
      <c r="H37" s="2" t="s">
        <v>705</v>
      </c>
      <c r="I37" s="2" t="s">
        <v>474</v>
      </c>
      <c r="J37" s="261">
        <f>SUM(J16:J22)</f>
        <v>0</v>
      </c>
      <c r="K37" s="2" t="s">
        <v>167</v>
      </c>
      <c r="L37" s="2" t="s">
        <v>680</v>
      </c>
    </row>
    <row r="38" spans="1:12">
      <c r="A38" s="2"/>
      <c r="B38" s="3" t="s">
        <v>717</v>
      </c>
      <c r="C38" s="3">
        <v>0</v>
      </c>
      <c r="D38" s="3" t="s">
        <v>109</v>
      </c>
      <c r="E38" s="2" t="s">
        <v>680</v>
      </c>
      <c r="H38" s="2"/>
      <c r="I38" s="2" t="s">
        <v>479</v>
      </c>
      <c r="J38" s="261">
        <f>J37*4</f>
        <v>0</v>
      </c>
      <c r="K38" s="2" t="s">
        <v>167</v>
      </c>
      <c r="L38" s="2" t="s">
        <v>689</v>
      </c>
    </row>
    <row r="39" spans="1:12">
      <c r="A39" s="2"/>
      <c r="B39" s="3" t="s">
        <v>719</v>
      </c>
      <c r="C39" s="3">
        <v>0</v>
      </c>
      <c r="D39" s="3" t="s">
        <v>109</v>
      </c>
      <c r="E39" s="2" t="s">
        <v>680</v>
      </c>
      <c r="H39" s="2"/>
      <c r="I39" s="2" t="s">
        <v>481</v>
      </c>
      <c r="J39" s="261">
        <f>ROUNDUP((SUM(J49,J52,J53,J54,J55,J58,J59)*20%),0)</f>
        <v>0</v>
      </c>
      <c r="K39" s="2" t="s">
        <v>167</v>
      </c>
      <c r="L39" s="2" t="s">
        <v>689</v>
      </c>
    </row>
    <row r="40" spans="1:12">
      <c r="A40" s="2" t="s">
        <v>721</v>
      </c>
      <c r="B40" s="2" t="str">
        <f>B36</f>
        <v>Line A</v>
      </c>
      <c r="C40" s="261">
        <f>IF(C36&gt;=1,1,0)</f>
        <v>1</v>
      </c>
      <c r="D40" s="2" t="s">
        <v>722</v>
      </c>
      <c r="E40" s="2" t="s">
        <v>697</v>
      </c>
      <c r="H40" s="2"/>
      <c r="I40" s="2" t="s">
        <v>710</v>
      </c>
      <c r="J40" s="261">
        <f>(J48/40)*6</f>
        <v>0</v>
      </c>
      <c r="K40" s="2" t="s">
        <v>167</v>
      </c>
      <c r="L40" s="2" t="s">
        <v>680</v>
      </c>
    </row>
    <row r="41" spans="1:12">
      <c r="A41" s="2"/>
      <c r="B41" s="2" t="str">
        <f>B37</f>
        <v>Line B</v>
      </c>
      <c r="C41" s="261">
        <f>IF(C37&gt;=1,1,0)</f>
        <v>1</v>
      </c>
      <c r="D41" s="2" t="s">
        <v>722</v>
      </c>
      <c r="E41" s="2" t="s">
        <v>697</v>
      </c>
      <c r="H41" s="2"/>
      <c r="I41" s="2" t="s">
        <v>712</v>
      </c>
      <c r="J41" s="261">
        <f>J45*2</f>
        <v>0</v>
      </c>
      <c r="K41" s="2" t="s">
        <v>167</v>
      </c>
      <c r="L41" s="2" t="s">
        <v>680</v>
      </c>
    </row>
    <row r="42" spans="1:12">
      <c r="A42" s="2"/>
      <c r="B42" s="2" t="str">
        <f>B38</f>
        <v>Line C</v>
      </c>
      <c r="C42" s="261">
        <f>IF(C38&gt;=1,1,0)</f>
        <v>0</v>
      </c>
      <c r="D42" s="2" t="s">
        <v>722</v>
      </c>
      <c r="E42" s="2" t="s">
        <v>697</v>
      </c>
      <c r="H42" s="2"/>
      <c r="I42" s="2" t="s">
        <v>715</v>
      </c>
      <c r="J42" s="261">
        <f>SUM(J49:J54)</f>
        <v>0</v>
      </c>
      <c r="K42" s="2" t="s">
        <v>167</v>
      </c>
      <c r="L42" s="2" t="s">
        <v>680</v>
      </c>
    </row>
    <row r="43" spans="1:12">
      <c r="A43" s="2"/>
      <c r="B43" s="2" t="str">
        <f>B39</f>
        <v>Line D</v>
      </c>
      <c r="C43" s="261">
        <f>IF(C39&gt;=1,1,0)</f>
        <v>0</v>
      </c>
      <c r="D43" s="2" t="s">
        <v>722</v>
      </c>
      <c r="E43" s="2" t="s">
        <v>697</v>
      </c>
      <c r="H43" s="2"/>
      <c r="I43" s="3" t="s">
        <v>487</v>
      </c>
      <c r="J43" s="3">
        <v>0</v>
      </c>
      <c r="K43" s="3" t="s">
        <v>167</v>
      </c>
      <c r="L43" s="2" t="s">
        <v>680</v>
      </c>
    </row>
    <row r="44" spans="1:12">
      <c r="A44" s="2" t="s">
        <v>726</v>
      </c>
      <c r="B44" s="2" t="str">
        <f t="shared" ref="B44:B47" si="3">B36</f>
        <v>Line A</v>
      </c>
      <c r="C44" s="261">
        <f t="shared" ref="C44:C47" si="4">C36</f>
        <v>4</v>
      </c>
      <c r="D44" s="2" t="s">
        <v>722</v>
      </c>
      <c r="E44" s="2" t="s">
        <v>697</v>
      </c>
      <c r="H44" s="2"/>
      <c r="I44" s="2" t="s">
        <v>718</v>
      </c>
      <c r="J44" s="261">
        <f>SUM(J49:J59)-J39</f>
        <v>0</v>
      </c>
      <c r="K44" s="2" t="s">
        <v>167</v>
      </c>
      <c r="L44" s="2" t="s">
        <v>680</v>
      </c>
    </row>
    <row r="45" spans="1:12">
      <c r="A45" s="2"/>
      <c r="B45" s="2" t="str">
        <f t="shared" si="3"/>
        <v>Line B</v>
      </c>
      <c r="C45" s="261">
        <f t="shared" si="4"/>
        <v>6</v>
      </c>
      <c r="D45" s="2" t="s">
        <v>722</v>
      </c>
      <c r="E45" s="2" t="s">
        <v>697</v>
      </c>
      <c r="H45" s="2"/>
      <c r="I45" s="2" t="s">
        <v>720</v>
      </c>
      <c r="J45" s="261">
        <f>J39</f>
        <v>0</v>
      </c>
      <c r="K45" s="2" t="s">
        <v>167</v>
      </c>
      <c r="L45" s="2" t="s">
        <v>680</v>
      </c>
    </row>
    <row r="46" spans="1:12">
      <c r="A46" s="2"/>
      <c r="B46" s="2" t="str">
        <f t="shared" si="3"/>
        <v>Line C</v>
      </c>
      <c r="C46" s="261">
        <f t="shared" si="4"/>
        <v>0</v>
      </c>
      <c r="D46" s="2" t="s">
        <v>722</v>
      </c>
      <c r="E46" s="2" t="s">
        <v>697</v>
      </c>
      <c r="H46" s="2"/>
      <c r="I46" s="3" t="s">
        <v>502</v>
      </c>
      <c r="J46" s="3">
        <v>0</v>
      </c>
      <c r="K46" s="3" t="s">
        <v>167</v>
      </c>
      <c r="L46" s="2" t="s">
        <v>680</v>
      </c>
    </row>
    <row r="47" spans="1:12">
      <c r="A47" s="2"/>
      <c r="B47" s="2" t="str">
        <f t="shared" si="3"/>
        <v>Line D</v>
      </c>
      <c r="C47" s="261">
        <f t="shared" si="4"/>
        <v>0</v>
      </c>
      <c r="D47" s="2" t="s">
        <v>722</v>
      </c>
      <c r="E47" s="2" t="s">
        <v>697</v>
      </c>
      <c r="H47" s="2"/>
      <c r="I47" s="3" t="s">
        <v>504</v>
      </c>
      <c r="J47" s="3">
        <v>0</v>
      </c>
      <c r="K47" s="3" t="s">
        <v>167</v>
      </c>
      <c r="L47" s="2" t="s">
        <v>680</v>
      </c>
    </row>
    <row r="48" spans="1:12">
      <c r="A48" s="329" t="s">
        <v>732</v>
      </c>
      <c r="B48" s="329"/>
      <c r="C48" s="1">
        <f>SUM(C40:C47)*20</f>
        <v>240</v>
      </c>
      <c r="D48" s="1" t="s">
        <v>679</v>
      </c>
      <c r="E48" s="2" t="s">
        <v>697</v>
      </c>
      <c r="H48" s="2" t="s">
        <v>723</v>
      </c>
      <c r="I48" s="2"/>
      <c r="J48" s="2"/>
      <c r="K48" s="2" t="s">
        <v>38</v>
      </c>
      <c r="L48" s="2" t="s">
        <v>680</v>
      </c>
    </row>
    <row r="49" spans="1:12">
      <c r="A49" s="2" t="s">
        <v>730</v>
      </c>
      <c r="B49" s="265" t="s">
        <v>734</v>
      </c>
      <c r="C49" s="275">
        <f>SUM(C53:C61)*10%</f>
        <v>2.7</v>
      </c>
      <c r="D49" s="265" t="s">
        <v>167</v>
      </c>
      <c r="E49" s="2" t="s">
        <v>697</v>
      </c>
      <c r="H49" s="2" t="s">
        <v>724</v>
      </c>
      <c r="I49" s="3" t="s">
        <v>725</v>
      </c>
      <c r="J49" s="3">
        <v>0</v>
      </c>
      <c r="K49" s="3" t="s">
        <v>700</v>
      </c>
      <c r="L49" s="2" t="s">
        <v>680</v>
      </c>
    </row>
    <row r="50" spans="1:12">
      <c r="A50" s="2"/>
      <c r="B50" s="265" t="s">
        <v>183</v>
      </c>
      <c r="C50" s="266">
        <f>SUM(C30:C33)</f>
        <v>1</v>
      </c>
      <c r="D50" s="265" t="s">
        <v>167</v>
      </c>
      <c r="E50" s="2" t="s">
        <v>697</v>
      </c>
      <c r="I50" s="308" t="s">
        <v>850</v>
      </c>
      <c r="J50" s="3">
        <v>0</v>
      </c>
      <c r="K50" s="3" t="s">
        <v>700</v>
      </c>
      <c r="L50" s="2" t="s">
        <v>689</v>
      </c>
    </row>
    <row r="51" spans="1:12">
      <c r="A51" s="2"/>
      <c r="B51" s="265" t="s">
        <v>736</v>
      </c>
      <c r="C51" s="266">
        <f>SUM(C36:C39)</f>
        <v>10</v>
      </c>
      <c r="D51" s="265" t="s">
        <v>167</v>
      </c>
      <c r="E51" s="2" t="s">
        <v>697</v>
      </c>
      <c r="I51" s="308" t="s">
        <v>851</v>
      </c>
      <c r="J51" s="3">
        <v>0</v>
      </c>
      <c r="K51" s="3" t="s">
        <v>700</v>
      </c>
      <c r="L51" s="2" t="s">
        <v>689</v>
      </c>
    </row>
    <row r="52" spans="1:12">
      <c r="A52" s="2"/>
      <c r="B52" s="265" t="s">
        <v>189</v>
      </c>
      <c r="C52" s="266">
        <f>SUM(C53:C58)</f>
        <v>6</v>
      </c>
      <c r="D52" s="265" t="s">
        <v>167</v>
      </c>
      <c r="E52" s="2" t="s">
        <v>697</v>
      </c>
      <c r="H52" s="2"/>
      <c r="I52" s="4" t="s">
        <v>727</v>
      </c>
      <c r="J52" s="272"/>
      <c r="K52" s="4" t="s">
        <v>700</v>
      </c>
      <c r="L52" s="2" t="s">
        <v>680</v>
      </c>
    </row>
    <row r="53" spans="1:12">
      <c r="A53" s="2" t="s">
        <v>724</v>
      </c>
      <c r="B53" s="4" t="s">
        <v>738</v>
      </c>
      <c r="C53" s="267"/>
      <c r="D53" s="4" t="s">
        <v>109</v>
      </c>
      <c r="E53" s="2" t="s">
        <v>680</v>
      </c>
      <c r="H53" s="2"/>
      <c r="I53" s="3" t="s">
        <v>728</v>
      </c>
      <c r="J53" s="273">
        <v>0</v>
      </c>
      <c r="K53" s="3" t="s">
        <v>700</v>
      </c>
      <c r="L53" s="2" t="s">
        <v>680</v>
      </c>
    </row>
    <row r="54" spans="1:12">
      <c r="A54" s="2"/>
      <c r="B54" s="3" t="s">
        <v>782</v>
      </c>
      <c r="C54" s="3">
        <v>0</v>
      </c>
      <c r="D54" s="3" t="s">
        <v>109</v>
      </c>
      <c r="E54" s="2" t="s">
        <v>680</v>
      </c>
      <c r="H54" s="2"/>
      <c r="I54" s="4" t="s">
        <v>729</v>
      </c>
      <c r="J54" s="272"/>
      <c r="K54" s="4" t="s">
        <v>700</v>
      </c>
      <c r="L54" s="2"/>
    </row>
    <row r="55" spans="1:12">
      <c r="A55" s="2"/>
      <c r="B55" s="3" t="s">
        <v>783</v>
      </c>
      <c r="C55" s="3">
        <v>1</v>
      </c>
      <c r="D55" s="3" t="s">
        <v>109</v>
      </c>
      <c r="E55" s="2" t="s">
        <v>680</v>
      </c>
      <c r="H55" s="2"/>
      <c r="I55" s="288" t="s">
        <v>731</v>
      </c>
      <c r="J55" s="3">
        <v>0</v>
      </c>
      <c r="K55" s="3" t="s">
        <v>700</v>
      </c>
      <c r="L55" s="2"/>
    </row>
    <row r="56" spans="1:12">
      <c r="A56" s="2"/>
      <c r="B56" s="308" t="s">
        <v>849</v>
      </c>
      <c r="C56" s="3">
        <f>4+1</f>
        <v>5</v>
      </c>
      <c r="D56" s="3" t="s">
        <v>109</v>
      </c>
      <c r="E56" s="2"/>
      <c r="H56" s="2"/>
      <c r="I56" s="291" t="s">
        <v>802</v>
      </c>
      <c r="J56" s="3">
        <v>0</v>
      </c>
      <c r="K56" s="3" t="s">
        <v>700</v>
      </c>
      <c r="L56" s="2"/>
    </row>
    <row r="57" spans="1:12">
      <c r="A57" s="2"/>
      <c r="B57" s="4" t="s">
        <v>741</v>
      </c>
      <c r="C57" s="267"/>
      <c r="D57" s="4" t="s">
        <v>109</v>
      </c>
      <c r="E57" s="2" t="s">
        <v>680</v>
      </c>
      <c r="H57" s="2"/>
      <c r="I57" s="288" t="s">
        <v>790</v>
      </c>
      <c r="J57" s="3">
        <v>0</v>
      </c>
      <c r="K57" s="3" t="s">
        <v>700</v>
      </c>
      <c r="L57" s="2" t="s">
        <v>689</v>
      </c>
    </row>
    <row r="58" spans="1:12">
      <c r="A58" s="2"/>
      <c r="B58" s="3" t="s">
        <v>743</v>
      </c>
      <c r="C58" s="3">
        <v>0</v>
      </c>
      <c r="D58" s="3" t="s">
        <v>109</v>
      </c>
      <c r="E58" s="2" t="s">
        <v>680</v>
      </c>
      <c r="H58" s="2"/>
      <c r="I58" s="288" t="s">
        <v>791</v>
      </c>
      <c r="J58" s="3">
        <v>0</v>
      </c>
      <c r="K58" s="3" t="s">
        <v>700</v>
      </c>
      <c r="L58" s="2" t="s">
        <v>680</v>
      </c>
    </row>
    <row r="59" spans="1:12">
      <c r="A59" s="2"/>
      <c r="B59" s="3" t="s">
        <v>731</v>
      </c>
      <c r="C59" s="3">
        <v>0</v>
      </c>
      <c r="D59" s="3" t="s">
        <v>109</v>
      </c>
      <c r="E59" s="2" t="s">
        <v>680</v>
      </c>
      <c r="H59" s="2"/>
      <c r="I59" s="288" t="s">
        <v>792</v>
      </c>
      <c r="J59" s="3">
        <v>0</v>
      </c>
      <c r="K59" s="3" t="s">
        <v>700</v>
      </c>
      <c r="L59" s="2" t="s">
        <v>680</v>
      </c>
    </row>
    <row r="60" spans="1:12">
      <c r="A60" s="2"/>
      <c r="B60" s="3" t="s">
        <v>733</v>
      </c>
      <c r="C60" s="3">
        <v>0</v>
      </c>
      <c r="D60" s="3" t="s">
        <v>109</v>
      </c>
      <c r="E60" s="2" t="s">
        <v>680</v>
      </c>
      <c r="H60" s="2" t="s">
        <v>730</v>
      </c>
      <c r="I60" s="2" t="s">
        <v>734</v>
      </c>
      <c r="J60" s="261">
        <f>SUM(J49:J59)</f>
        <v>0</v>
      </c>
      <c r="K60" s="2" t="s">
        <v>167</v>
      </c>
      <c r="L60" s="2" t="s">
        <v>680</v>
      </c>
    </row>
    <row r="61" spans="1:12">
      <c r="A61" s="2"/>
      <c r="B61" s="3" t="s">
        <v>735</v>
      </c>
      <c r="C61" s="3">
        <f>10+11</f>
        <v>21</v>
      </c>
      <c r="D61" s="3" t="s">
        <v>109</v>
      </c>
      <c r="E61" s="2" t="s">
        <v>680</v>
      </c>
      <c r="H61" s="2"/>
      <c r="I61" s="2" t="s">
        <v>737</v>
      </c>
      <c r="J61" s="261">
        <f>SUM(J49:J54)</f>
        <v>0</v>
      </c>
      <c r="K61" s="2" t="s">
        <v>167</v>
      </c>
      <c r="L61" s="2" t="s">
        <v>746</v>
      </c>
    </row>
    <row r="62" spans="1:12">
      <c r="A62" s="2" t="s">
        <v>705</v>
      </c>
      <c r="B62" s="2" t="s">
        <v>474</v>
      </c>
      <c r="C62" s="274">
        <f>SUM(C40:C47)</f>
        <v>12</v>
      </c>
      <c r="D62" s="2" t="s">
        <v>167</v>
      </c>
      <c r="E62" s="2" t="s">
        <v>697</v>
      </c>
      <c r="H62" s="2" t="s">
        <v>801</v>
      </c>
      <c r="I62" s="291" t="s">
        <v>799</v>
      </c>
      <c r="J62" s="3">
        <v>0</v>
      </c>
      <c r="K62" s="3" t="s">
        <v>175</v>
      </c>
      <c r="L62" s="2" t="s">
        <v>689</v>
      </c>
    </row>
    <row r="63" spans="1:12">
      <c r="A63" s="2"/>
      <c r="B63" s="2" t="s">
        <v>479</v>
      </c>
      <c r="C63" s="274">
        <f>(SUM(C36:C39)+SUM(C30:C33))*4</f>
        <v>44</v>
      </c>
      <c r="D63" s="2" t="s">
        <v>167</v>
      </c>
      <c r="E63" s="2" t="s">
        <v>697</v>
      </c>
      <c r="H63" s="2"/>
      <c r="I63" s="291" t="s">
        <v>800</v>
      </c>
      <c r="J63" s="3">
        <v>0</v>
      </c>
      <c r="K63" s="3" t="s">
        <v>175</v>
      </c>
      <c r="L63" s="2" t="s">
        <v>680</v>
      </c>
    </row>
    <row r="64" spans="1:12">
      <c r="A64" s="2"/>
      <c r="B64" s="2" t="s">
        <v>481</v>
      </c>
      <c r="C64" s="274">
        <f>SUM(C53,C54,C55,C57,C58,C59,C60,C61)*20%</f>
        <v>4.4000000000000004</v>
      </c>
      <c r="D64" s="2" t="s">
        <v>167</v>
      </c>
      <c r="E64" s="2" t="s">
        <v>697</v>
      </c>
      <c r="H64" s="2" t="s">
        <v>174</v>
      </c>
      <c r="I64" s="292" t="s">
        <v>793</v>
      </c>
      <c r="J64" s="261">
        <f>J62*(SUM(J23:J36)+1)</f>
        <v>0</v>
      </c>
      <c r="K64" s="2" t="s">
        <v>175</v>
      </c>
      <c r="L64" s="2" t="s">
        <v>689</v>
      </c>
    </row>
    <row r="65" spans="1:12">
      <c r="A65" s="2"/>
      <c r="B65" s="2" t="s">
        <v>710</v>
      </c>
      <c r="C65" s="274">
        <f>(C29/40)*6</f>
        <v>29.400000000000002</v>
      </c>
      <c r="D65" s="2" t="s">
        <v>167</v>
      </c>
      <c r="E65" s="2" t="s">
        <v>697</v>
      </c>
      <c r="H65" s="2"/>
      <c r="I65" s="292" t="s">
        <v>794</v>
      </c>
      <c r="J65" s="261">
        <f>J63*2</f>
        <v>0</v>
      </c>
      <c r="K65" s="2" t="s">
        <v>175</v>
      </c>
      <c r="L65" s="2" t="s">
        <v>680</v>
      </c>
    </row>
    <row r="66" spans="1:12">
      <c r="A66" s="2"/>
      <c r="B66" s="2" t="s">
        <v>712</v>
      </c>
      <c r="C66" s="274">
        <f>C69*2</f>
        <v>45.2</v>
      </c>
      <c r="D66" s="2" t="s">
        <v>167</v>
      </c>
      <c r="E66" s="2" t="s">
        <v>697</v>
      </c>
      <c r="H66" s="2"/>
      <c r="I66" s="2" t="s">
        <v>739</v>
      </c>
      <c r="J66" s="261">
        <f>SUM(J49:J54)</f>
        <v>0</v>
      </c>
      <c r="K66" s="2" t="s">
        <v>700</v>
      </c>
      <c r="L66" s="2" t="s">
        <v>680</v>
      </c>
    </row>
    <row r="67" spans="1:12">
      <c r="A67" s="2"/>
      <c r="B67" s="2" t="s">
        <v>715</v>
      </c>
      <c r="C67" s="274">
        <f>SUM(C53:C58)</f>
        <v>6</v>
      </c>
      <c r="D67" s="2" t="s">
        <v>167</v>
      </c>
      <c r="E67" s="2" t="s">
        <v>697</v>
      </c>
      <c r="H67" s="2" t="s">
        <v>740</v>
      </c>
      <c r="I67" s="2" t="s">
        <v>214</v>
      </c>
      <c r="J67" s="2"/>
      <c r="K67" s="2" t="s">
        <v>38</v>
      </c>
    </row>
    <row r="68" spans="1:12" ht="14.25" customHeight="1">
      <c r="A68" s="2"/>
      <c r="B68" s="2" t="s">
        <v>487</v>
      </c>
      <c r="C68" s="274">
        <v>0</v>
      </c>
      <c r="D68" s="2" t="s">
        <v>167</v>
      </c>
      <c r="E68" s="2" t="s">
        <v>753</v>
      </c>
      <c r="H68" s="2"/>
      <c r="I68" s="2" t="s">
        <v>742</v>
      </c>
      <c r="J68" s="2"/>
      <c r="K68" s="2" t="s">
        <v>38</v>
      </c>
    </row>
    <row r="69" spans="1:12">
      <c r="A69" s="2"/>
      <c r="B69" s="2" t="s">
        <v>718</v>
      </c>
      <c r="C69" s="274">
        <f>SUM(C53:C61)-C64</f>
        <v>22.6</v>
      </c>
      <c r="D69" s="2" t="s">
        <v>167</v>
      </c>
      <c r="E69" s="2" t="s">
        <v>697</v>
      </c>
      <c r="H69" s="2"/>
      <c r="I69" s="2" t="s">
        <v>744</v>
      </c>
      <c r="J69" s="2"/>
      <c r="K69" s="2" t="s">
        <v>38</v>
      </c>
    </row>
    <row r="70" spans="1:12">
      <c r="A70" s="2"/>
      <c r="B70" s="2" t="s">
        <v>720</v>
      </c>
      <c r="C70" s="274">
        <f>C64</f>
        <v>4.4000000000000004</v>
      </c>
      <c r="D70" s="2" t="s">
        <v>167</v>
      </c>
      <c r="E70" s="2" t="s">
        <v>697</v>
      </c>
      <c r="H70" s="2" t="s">
        <v>745</v>
      </c>
      <c r="I70" s="3" t="s">
        <v>278</v>
      </c>
      <c r="J70" s="290">
        <v>0</v>
      </c>
      <c r="K70" s="3" t="s">
        <v>38</v>
      </c>
    </row>
    <row r="71" spans="1:12">
      <c r="A71" s="2"/>
      <c r="B71" s="3" t="s">
        <v>502</v>
      </c>
      <c r="C71" s="3">
        <v>0</v>
      </c>
      <c r="D71" s="3" t="s">
        <v>167</v>
      </c>
      <c r="E71" s="2" t="s">
        <v>680</v>
      </c>
      <c r="H71" s="2"/>
      <c r="I71" s="2" t="s">
        <v>747</v>
      </c>
      <c r="J71" s="261">
        <f>ROUNDUP((J70*10%)+J70,0)</f>
        <v>0</v>
      </c>
      <c r="K71" s="2" t="s">
        <v>38</v>
      </c>
    </row>
    <row r="72" spans="1:12">
      <c r="A72" s="2"/>
      <c r="B72" s="3" t="s">
        <v>504</v>
      </c>
      <c r="C72" s="3">
        <v>0</v>
      </c>
      <c r="D72" s="3" t="s">
        <v>167</v>
      </c>
      <c r="E72" s="2" t="s">
        <v>680</v>
      </c>
      <c r="H72" s="2" t="s">
        <v>748</v>
      </c>
      <c r="I72" s="2" t="s">
        <v>749</v>
      </c>
      <c r="J72" s="2"/>
      <c r="K72" s="2" t="s">
        <v>38</v>
      </c>
    </row>
    <row r="73" spans="1:12">
      <c r="A73" s="2" t="s">
        <v>174</v>
      </c>
      <c r="B73" s="2" t="s">
        <v>754</v>
      </c>
      <c r="C73" s="261">
        <f>C74</f>
        <v>10</v>
      </c>
      <c r="D73" s="2" t="s">
        <v>175</v>
      </c>
      <c r="E73" s="2" t="s">
        <v>697</v>
      </c>
      <c r="H73" s="2" t="s">
        <v>750</v>
      </c>
      <c r="I73" s="2" t="s">
        <v>281</v>
      </c>
      <c r="J73" s="274">
        <f>IF(J71&gt;200,(J70/200),(J691))</f>
        <v>0</v>
      </c>
      <c r="K73" s="2" t="s">
        <v>167</v>
      </c>
      <c r="L73" s="2" t="s">
        <v>680</v>
      </c>
    </row>
    <row r="74" spans="1:12">
      <c r="A74" s="2"/>
      <c r="B74" s="2" t="s">
        <v>755</v>
      </c>
      <c r="C74" s="261">
        <f>SUM(C36:C39)</f>
        <v>10</v>
      </c>
      <c r="D74" s="2" t="s">
        <v>175</v>
      </c>
      <c r="E74" s="2" t="s">
        <v>697</v>
      </c>
      <c r="H74" s="2" t="s">
        <v>748</v>
      </c>
      <c r="I74" s="2" t="s">
        <v>749</v>
      </c>
      <c r="J74" s="2"/>
      <c r="K74" s="2" t="s">
        <v>38</v>
      </c>
      <c r="L74" s="2" t="s">
        <v>680</v>
      </c>
    </row>
    <row r="75" spans="1:12">
      <c r="A75" s="2"/>
      <c r="B75" s="2"/>
      <c r="C75" s="2"/>
      <c r="D75" s="2"/>
      <c r="E75" s="2"/>
      <c r="H75" s="2" t="s">
        <v>751</v>
      </c>
      <c r="I75" s="2" t="s">
        <v>752</v>
      </c>
      <c r="J75" s="2"/>
      <c r="K75" s="2" t="s">
        <v>38</v>
      </c>
    </row>
    <row r="76" spans="1:12">
      <c r="A76" s="2" t="s">
        <v>756</v>
      </c>
      <c r="B76" s="2" t="s">
        <v>713</v>
      </c>
      <c r="C76" s="261">
        <f>C35</f>
        <v>10</v>
      </c>
      <c r="D76" s="2"/>
      <c r="E76" s="2" t="s">
        <v>697</v>
      </c>
      <c r="H76" s="7" t="s">
        <v>288</v>
      </c>
      <c r="I76" s="8" t="s">
        <v>770</v>
      </c>
      <c r="J76" s="288">
        <v>0</v>
      </c>
      <c r="K76" s="3" t="s">
        <v>38</v>
      </c>
    </row>
    <row r="77" spans="1:12">
      <c r="A77" s="2" t="s">
        <v>757</v>
      </c>
      <c r="B77" s="268" t="s">
        <v>771</v>
      </c>
      <c r="C77" s="261">
        <f>C34</f>
        <v>2</v>
      </c>
      <c r="D77" s="2"/>
      <c r="E77" s="2" t="s">
        <v>697</v>
      </c>
      <c r="H77" s="7" t="s">
        <v>290</v>
      </c>
      <c r="I77" s="8" t="s">
        <v>770</v>
      </c>
      <c r="J77" s="3">
        <v>0</v>
      </c>
      <c r="K77" s="3" t="s">
        <v>38</v>
      </c>
    </row>
    <row r="78" spans="1:12">
      <c r="A78" s="2"/>
      <c r="B78" s="2"/>
      <c r="C78" s="2"/>
      <c r="D78" s="2"/>
      <c r="E78" s="2"/>
    </row>
    <row r="79" spans="1:12">
      <c r="A79" s="2" t="s">
        <v>758</v>
      </c>
      <c r="B79" s="2" t="s">
        <v>759</v>
      </c>
      <c r="C79" s="261">
        <f>SUM(C28:C29)</f>
        <v>1472</v>
      </c>
      <c r="D79" s="2" t="s">
        <v>679</v>
      </c>
      <c r="E79" s="2" t="s">
        <v>697</v>
      </c>
    </row>
    <row r="80" spans="1:12">
      <c r="A80" s="2" t="s">
        <v>627</v>
      </c>
      <c r="B80" s="2"/>
      <c r="C80" s="261">
        <f>C79</f>
        <v>1472</v>
      </c>
      <c r="D80" s="2" t="s">
        <v>679</v>
      </c>
      <c r="E80" s="2" t="s">
        <v>697</v>
      </c>
    </row>
    <row r="81" spans="1:5">
      <c r="A81" s="2"/>
      <c r="B81" s="286" t="s">
        <v>784</v>
      </c>
      <c r="C81" s="2"/>
      <c r="D81" s="2" t="s">
        <v>679</v>
      </c>
      <c r="E81" s="2" t="s">
        <v>680</v>
      </c>
    </row>
    <row r="82" spans="1:5">
      <c r="A82" s="2"/>
      <c r="B82" s="2"/>
      <c r="C82" s="2"/>
      <c r="D82" s="2"/>
      <c r="E82" s="2"/>
    </row>
    <row r="83" spans="1:5">
      <c r="A83" s="7" t="s">
        <v>760</v>
      </c>
      <c r="B83" s="8" t="s">
        <v>761</v>
      </c>
      <c r="C83" s="2"/>
      <c r="D83" s="2" t="s">
        <v>38</v>
      </c>
      <c r="E83" s="2" t="s">
        <v>680</v>
      </c>
    </row>
    <row r="84" spans="1:5">
      <c r="A84" s="7"/>
      <c r="B84" s="8" t="s">
        <v>742</v>
      </c>
      <c r="C84" s="2"/>
      <c r="D84" s="2" t="s">
        <v>38</v>
      </c>
      <c r="E84" s="2" t="s">
        <v>680</v>
      </c>
    </row>
    <row r="85" spans="1:5">
      <c r="A85" s="7"/>
      <c r="B85" s="8" t="s">
        <v>744</v>
      </c>
      <c r="C85" s="2"/>
      <c r="D85" s="2" t="s">
        <v>38</v>
      </c>
      <c r="E85" s="2" t="s">
        <v>680</v>
      </c>
    </row>
    <row r="86" spans="1:5">
      <c r="A86" s="7"/>
      <c r="B86" s="3" t="s">
        <v>270</v>
      </c>
      <c r="C86" s="2"/>
      <c r="D86" s="2" t="s">
        <v>679</v>
      </c>
      <c r="E86" s="2" t="s">
        <v>680</v>
      </c>
    </row>
    <row r="87" spans="1:5">
      <c r="A87" s="7"/>
      <c r="B87" s="3" t="s">
        <v>278</v>
      </c>
      <c r="C87" s="2"/>
      <c r="D87" s="2" t="s">
        <v>679</v>
      </c>
      <c r="E87" s="2" t="s">
        <v>680</v>
      </c>
    </row>
    <row r="88" spans="1:5">
      <c r="A88" s="2" t="s">
        <v>762</v>
      </c>
      <c r="B88" s="2"/>
      <c r="C88" s="2"/>
      <c r="D88" s="2"/>
      <c r="E88" s="2"/>
    </row>
    <row r="89" spans="1:5">
      <c r="A89" s="2"/>
      <c r="B89" s="3" t="s">
        <v>270</v>
      </c>
      <c r="C89" s="2">
        <f>ROUNDUP((C86*10%)+C86,0)</f>
        <v>0</v>
      </c>
      <c r="D89" s="2" t="s">
        <v>679</v>
      </c>
      <c r="E89" s="2" t="s">
        <v>697</v>
      </c>
    </row>
    <row r="90" spans="1:5">
      <c r="A90" s="2"/>
      <c r="B90" s="3" t="s">
        <v>278</v>
      </c>
      <c r="C90" s="2">
        <f>ROUNDUP((C87*10%)+C87,0)</f>
        <v>0</v>
      </c>
      <c r="D90" s="2" t="s">
        <v>679</v>
      </c>
      <c r="E90" s="2" t="s">
        <v>697</v>
      </c>
    </row>
    <row r="91" spans="1:5">
      <c r="A91" s="7" t="s">
        <v>750</v>
      </c>
      <c r="B91" s="8" t="s">
        <v>274</v>
      </c>
      <c r="C91" s="2">
        <f>C89/200</f>
        <v>0</v>
      </c>
      <c r="D91" s="2" t="s">
        <v>167</v>
      </c>
      <c r="E91" s="2" t="s">
        <v>697</v>
      </c>
    </row>
    <row r="92" spans="1:5">
      <c r="A92" s="7"/>
      <c r="B92" s="8" t="s">
        <v>281</v>
      </c>
      <c r="C92" s="2">
        <f>C90/200</f>
        <v>0</v>
      </c>
      <c r="D92" s="2" t="s">
        <v>167</v>
      </c>
      <c r="E92" s="2" t="s">
        <v>697</v>
      </c>
    </row>
    <row r="93" spans="1:5">
      <c r="A93" s="7" t="s">
        <v>763</v>
      </c>
      <c r="B93" s="8" t="s">
        <v>749</v>
      </c>
      <c r="C93" s="2"/>
      <c r="D93" s="2" t="s">
        <v>109</v>
      </c>
      <c r="E93" s="2" t="s">
        <v>680</v>
      </c>
    </row>
    <row r="94" spans="1:5">
      <c r="A94" s="7"/>
      <c r="B94" s="8" t="s">
        <v>764</v>
      </c>
      <c r="C94" s="2"/>
      <c r="D94" s="2" t="s">
        <v>109</v>
      </c>
      <c r="E94" s="2" t="s">
        <v>680</v>
      </c>
    </row>
    <row r="95" spans="1:5">
      <c r="A95" s="7"/>
      <c r="B95" s="8" t="s">
        <v>765</v>
      </c>
      <c r="C95" s="2"/>
      <c r="D95" s="2" t="s">
        <v>109</v>
      </c>
      <c r="E95" s="2" t="s">
        <v>680</v>
      </c>
    </row>
    <row r="96" spans="1:5">
      <c r="A96" s="7"/>
      <c r="B96" s="8" t="s">
        <v>766</v>
      </c>
      <c r="C96" s="2"/>
      <c r="D96" s="2" t="s">
        <v>109</v>
      </c>
      <c r="E96" s="2" t="s">
        <v>680</v>
      </c>
    </row>
    <row r="97" spans="1:5">
      <c r="A97" s="7" t="s">
        <v>748</v>
      </c>
      <c r="B97" s="8" t="s">
        <v>749</v>
      </c>
      <c r="C97" s="2"/>
      <c r="D97" s="2" t="s">
        <v>38</v>
      </c>
      <c r="E97" s="2" t="s">
        <v>680</v>
      </c>
    </row>
    <row r="98" spans="1:5">
      <c r="A98" s="7"/>
      <c r="B98" s="8" t="s">
        <v>764</v>
      </c>
      <c r="C98" s="2"/>
      <c r="D98" s="2" t="s">
        <v>38</v>
      </c>
      <c r="E98" s="2" t="s">
        <v>680</v>
      </c>
    </row>
    <row r="99" spans="1:5">
      <c r="A99" s="7"/>
      <c r="B99" s="8" t="s">
        <v>765</v>
      </c>
      <c r="C99" s="2"/>
      <c r="D99" s="2" t="s">
        <v>38</v>
      </c>
      <c r="E99" s="2" t="s">
        <v>680</v>
      </c>
    </row>
    <row r="100" spans="1:5">
      <c r="A100" s="7" t="s">
        <v>767</v>
      </c>
      <c r="B100" s="8"/>
      <c r="C100" s="2">
        <f>C97</f>
        <v>0</v>
      </c>
      <c r="D100" s="2" t="s">
        <v>167</v>
      </c>
      <c r="E100" s="2" t="s">
        <v>697</v>
      </c>
    </row>
    <row r="101" spans="1:5">
      <c r="A101" s="9" t="s">
        <v>751</v>
      </c>
      <c r="B101" s="9" t="s">
        <v>752</v>
      </c>
      <c r="C101" s="9"/>
      <c r="D101" s="2" t="s">
        <v>38</v>
      </c>
      <c r="E101" s="2" t="s">
        <v>680</v>
      </c>
    </row>
    <row r="102" spans="1:5">
      <c r="A102" s="7" t="s">
        <v>358</v>
      </c>
      <c r="B102" s="8" t="s">
        <v>358</v>
      </c>
      <c r="C102" s="2">
        <f>C90</f>
        <v>0</v>
      </c>
      <c r="D102" s="2" t="s">
        <v>38</v>
      </c>
      <c r="E102" s="2" t="s">
        <v>697</v>
      </c>
    </row>
    <row r="103" spans="1:5">
      <c r="A103" s="7" t="s">
        <v>768</v>
      </c>
      <c r="B103" s="8" t="s">
        <v>769</v>
      </c>
      <c r="C103" s="2"/>
      <c r="D103" s="2" t="s">
        <v>167</v>
      </c>
      <c r="E103" s="2" t="s">
        <v>680</v>
      </c>
    </row>
    <row r="104" spans="1:5">
      <c r="A104" s="7"/>
      <c r="B104" s="8" t="s">
        <v>355</v>
      </c>
      <c r="C104" s="2">
        <f>C103</f>
        <v>0</v>
      </c>
      <c r="D104" s="2" t="s">
        <v>167</v>
      </c>
      <c r="E104" s="2" t="s">
        <v>697</v>
      </c>
    </row>
    <row r="105" spans="1:5">
      <c r="A105" s="7" t="s">
        <v>288</v>
      </c>
      <c r="B105" s="8" t="s">
        <v>770</v>
      </c>
      <c r="C105" s="2"/>
      <c r="D105" s="2" t="s">
        <v>38</v>
      </c>
      <c r="E105" s="2" t="s">
        <v>680</v>
      </c>
    </row>
    <row r="106" spans="1:5">
      <c r="A106" s="7" t="s">
        <v>290</v>
      </c>
      <c r="B106" s="8" t="s">
        <v>770</v>
      </c>
      <c r="C106" s="2"/>
      <c r="D106" s="2" t="s">
        <v>38</v>
      </c>
      <c r="E106" s="2" t="s">
        <v>680</v>
      </c>
    </row>
  </sheetData>
  <mergeCells count="3">
    <mergeCell ref="A14:B14"/>
    <mergeCell ref="A28:B28"/>
    <mergeCell ref="A48:B48"/>
  </mergeCells>
  <pageMargins left="0.75" right="0.75" top="1" bottom="1" header="0.5" footer="0.5"/>
  <ignoredErrors>
    <ignoredError sqref="C67 C5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C4" sqref="C4"/>
    </sheetView>
  </sheetViews>
  <sheetFormatPr defaultColWidth="9" defaultRowHeight="15"/>
  <cols>
    <col min="1" max="1" width="15.28515625" bestFit="1" customWidth="1"/>
    <col min="2" max="2" width="10.42578125" bestFit="1" customWidth="1"/>
    <col min="3" max="3" width="25" bestFit="1" customWidth="1"/>
    <col min="4" max="4" width="21.28515625" bestFit="1" customWidth="1"/>
    <col min="5" max="5" width="12.42578125" bestFit="1" customWidth="1"/>
    <col min="6" max="6" width="6.85546875" bestFit="1" customWidth="1"/>
  </cols>
  <sheetData>
    <row r="1" spans="1:6">
      <c r="A1" s="309" t="s">
        <v>852</v>
      </c>
      <c r="B1" s="310" t="s">
        <v>853</v>
      </c>
      <c r="C1" s="311" t="s">
        <v>854</v>
      </c>
    </row>
    <row r="2" spans="1:6">
      <c r="A2" s="312" t="s">
        <v>855</v>
      </c>
      <c r="B2" s="313"/>
      <c r="C2" s="314" t="s">
        <v>856</v>
      </c>
      <c r="D2" s="315" t="s">
        <v>857</v>
      </c>
    </row>
    <row r="3" spans="1:6">
      <c r="A3" s="312" t="s">
        <v>778</v>
      </c>
      <c r="B3" s="313"/>
      <c r="C3" s="316">
        <v>25000000</v>
      </c>
      <c r="F3" s="317">
        <v>0.97350000000000003</v>
      </c>
    </row>
    <row r="4" spans="1:6">
      <c r="A4" s="312" t="s">
        <v>858</v>
      </c>
      <c r="B4" s="318">
        <f>VLOOKUP(C2,'[1]Vendor List'!A2:B100,2,0)</f>
        <v>2.6499999999999999E-2</v>
      </c>
      <c r="C4" s="316">
        <f>INT(C3/(1-B4))</f>
        <v>25680534</v>
      </c>
      <c r="E4" s="319">
        <f>C4*B4</f>
        <v>680534.15099999995</v>
      </c>
      <c r="F4" s="320">
        <v>1</v>
      </c>
    </row>
    <row r="5" spans="1:6">
      <c r="A5" s="312" t="s">
        <v>859</v>
      </c>
      <c r="B5" s="321">
        <v>0</v>
      </c>
      <c r="C5" s="316">
        <f>C3*B5</f>
        <v>0</v>
      </c>
      <c r="E5" s="319">
        <f>C3+E4</f>
        <v>25680534.151000001</v>
      </c>
    </row>
    <row r="6" spans="1:6">
      <c r="A6" s="322" t="s">
        <v>860</v>
      </c>
      <c r="B6" s="323"/>
      <c r="C6" s="324">
        <f>C4+C5</f>
        <v>25680534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PO Permit</vt:lpstr>
      <vt:lpstr>BoQ NRO Cluster</vt:lpstr>
      <vt:lpstr>BoQ NRO All Feeder</vt:lpstr>
      <vt:lpstr>BoM AE</vt:lpstr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SRFT Y</cp:lastModifiedBy>
  <cp:lastPrinted>2021-07-05T14:58:00Z</cp:lastPrinted>
  <dcterms:created xsi:type="dcterms:W3CDTF">2021-06-22T07:23:00Z</dcterms:created>
  <dcterms:modified xsi:type="dcterms:W3CDTF">2026-05-16T04:04:24Z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